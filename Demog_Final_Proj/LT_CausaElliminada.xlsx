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cortes/Demo_Final_Proj/data/"/>
    </mc:Choice>
  </mc:AlternateContent>
  <xr:revisionPtr revIDLastSave="0" documentId="8_{5444A9A2-84C5-EF4C-A76E-907D5F8EDC79}" xr6:coauthVersionLast="47" xr6:coauthVersionMax="47" xr10:uidLastSave="{00000000-0000-0000-0000-000000000000}"/>
  <bookViews>
    <workbookView xWindow="0" yWindow="660" windowWidth="25600" windowHeight="15980" xr2:uid="{9CB258A6-3033-084F-AC13-E52138170916}"/>
  </bookViews>
  <sheets>
    <sheet name="Decrementos Múltiples" sheetId="5" r:id="rId1"/>
    <sheet name="LT" sheetId="2" r:id="rId2"/>
    <sheet name="Homicidios" sheetId="3" r:id="rId3"/>
    <sheet name="Defunciones generales" sheetId="4" r:id="rId4"/>
  </sheets>
  <externalReferences>
    <externalReference r:id="rId5"/>
  </externalReferences>
  <definedNames>
    <definedName name="_xlnm._FilterDatabase" localSheetId="2" hidden="1">Homicidios!$A$1:$D$1311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5" l="1"/>
  <c r="H33" i="5"/>
  <c r="H32" i="5"/>
  <c r="H31" i="5"/>
  <c r="H30" i="5"/>
  <c r="H29" i="5"/>
  <c r="H28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27" i="5"/>
  <c r="AA29" i="5" s="1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27" i="5"/>
  <c r="H35" i="5"/>
  <c r="H36" i="5"/>
  <c r="H37" i="5"/>
  <c r="H38" i="5"/>
  <c r="H39" i="5"/>
  <c r="H40" i="5"/>
  <c r="I40" i="5" s="1"/>
  <c r="H41" i="5"/>
  <c r="H42" i="5"/>
  <c r="H43" i="5"/>
  <c r="H44" i="5"/>
  <c r="H45" i="5"/>
  <c r="H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27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4" i="5"/>
  <c r="D34" i="5"/>
  <c r="D35" i="5"/>
  <c r="D36" i="5"/>
  <c r="D37" i="5"/>
  <c r="D38" i="5"/>
  <c r="D39" i="5"/>
  <c r="D40" i="5"/>
  <c r="D41" i="5"/>
  <c r="D42" i="5"/>
  <c r="D43" i="5"/>
  <c r="D44" i="5"/>
  <c r="D45" i="5"/>
  <c r="D28" i="5"/>
  <c r="F28" i="5" s="1"/>
  <c r="D29" i="5"/>
  <c r="D30" i="5"/>
  <c r="D31" i="5"/>
  <c r="D32" i="5"/>
  <c r="D33" i="5"/>
  <c r="D27" i="5"/>
  <c r="L2" i="2"/>
  <c r="J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4" i="5"/>
  <c r="Z29" i="5" s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G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I22" i="5" s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D20" i="5"/>
  <c r="D21" i="5"/>
  <c r="D22" i="5"/>
  <c r="D16" i="5"/>
  <c r="D17" i="5"/>
  <c r="D18" i="5"/>
  <c r="D19" i="5"/>
  <c r="D5" i="5"/>
  <c r="D6" i="5"/>
  <c r="D7" i="5"/>
  <c r="D8" i="5"/>
  <c r="D9" i="5"/>
  <c r="D10" i="5"/>
  <c r="D11" i="5"/>
  <c r="D12" i="5"/>
  <c r="D13" i="5"/>
  <c r="D14" i="5"/>
  <c r="D15" i="5"/>
  <c r="D4" i="5"/>
  <c r="I27" i="5" l="1"/>
  <c r="F34" i="5"/>
  <c r="L34" i="5" s="1"/>
  <c r="M34" i="5" s="1"/>
  <c r="F35" i="5"/>
  <c r="L35" i="5" s="1"/>
  <c r="M35" i="5" s="1"/>
  <c r="F36" i="5"/>
  <c r="L36" i="5" s="1"/>
  <c r="M36" i="5" s="1"/>
  <c r="F37" i="5"/>
  <c r="L37" i="5" s="1"/>
  <c r="M37" i="5" s="1"/>
  <c r="F38" i="5"/>
  <c r="L38" i="5" s="1"/>
  <c r="M38" i="5" s="1"/>
  <c r="F39" i="5"/>
  <c r="L39" i="5" s="1"/>
  <c r="M39" i="5" s="1"/>
  <c r="F40" i="5"/>
  <c r="L40" i="5" s="1"/>
  <c r="M40" i="5" s="1"/>
  <c r="F45" i="5"/>
  <c r="F29" i="5"/>
  <c r="L29" i="5" s="1"/>
  <c r="M29" i="5" s="1"/>
  <c r="F30" i="5"/>
  <c r="L30" i="5" s="1"/>
  <c r="M30" i="5" s="1"/>
  <c r="F31" i="5"/>
  <c r="L31" i="5" s="1"/>
  <c r="M31" i="5" s="1"/>
  <c r="F32" i="5"/>
  <c r="L32" i="5" s="1"/>
  <c r="M32" i="5" s="1"/>
  <c r="F33" i="5"/>
  <c r="L33" i="5" s="1"/>
  <c r="M33" i="5" s="1"/>
  <c r="F41" i="5"/>
  <c r="L41" i="5" s="1"/>
  <c r="M41" i="5" s="1"/>
  <c r="F42" i="5"/>
  <c r="L42" i="5" s="1"/>
  <c r="M42" i="5" s="1"/>
  <c r="F43" i="5"/>
  <c r="L43" i="5" s="1"/>
  <c r="M43" i="5" s="1"/>
  <c r="F44" i="5"/>
  <c r="L44" i="5" s="1"/>
  <c r="M44" i="5" s="1"/>
  <c r="F5" i="5"/>
  <c r="L5" i="5" s="1"/>
  <c r="M5" i="5" s="1"/>
  <c r="F8" i="5"/>
  <c r="L8" i="5" s="1"/>
  <c r="M8" i="5" s="1"/>
  <c r="F11" i="5"/>
  <c r="L11" i="5" s="1"/>
  <c r="M11" i="5" s="1"/>
  <c r="F13" i="5"/>
  <c r="L13" i="5" s="1"/>
  <c r="M13" i="5" s="1"/>
  <c r="F21" i="5"/>
  <c r="L21" i="5" s="1"/>
  <c r="M21" i="5" s="1"/>
  <c r="F10" i="5"/>
  <c r="L10" i="5" s="1"/>
  <c r="M10" i="5" s="1"/>
  <c r="F15" i="5"/>
  <c r="L15" i="5" s="1"/>
  <c r="M15" i="5" s="1"/>
  <c r="F6" i="5"/>
  <c r="L6" i="5" s="1"/>
  <c r="M6" i="5" s="1"/>
  <c r="F9" i="5"/>
  <c r="L9" i="5" s="1"/>
  <c r="M9" i="5" s="1"/>
  <c r="F14" i="5"/>
  <c r="L14" i="5" s="1"/>
  <c r="M14" i="5" s="1"/>
  <c r="F7" i="5"/>
  <c r="L7" i="5" s="1"/>
  <c r="M7" i="5" s="1"/>
  <c r="F4" i="5"/>
  <c r="L4" i="5" s="1"/>
  <c r="M4" i="5" s="1"/>
  <c r="F12" i="5"/>
  <c r="L12" i="5" s="1"/>
  <c r="M12" i="5" s="1"/>
  <c r="F20" i="5"/>
  <c r="L20" i="5" s="1"/>
  <c r="M20" i="5" s="1"/>
  <c r="F27" i="5"/>
  <c r="L27" i="5" s="1"/>
  <c r="I45" i="5"/>
  <c r="I44" i="5"/>
  <c r="I43" i="5"/>
  <c r="I42" i="5"/>
  <c r="I41" i="5"/>
  <c r="I39" i="5"/>
  <c r="I38" i="5"/>
  <c r="I37" i="5"/>
  <c r="I36" i="5"/>
  <c r="I35" i="5"/>
  <c r="I34" i="5"/>
  <c r="I33" i="5"/>
  <c r="I32" i="5"/>
  <c r="I31" i="5"/>
  <c r="I30" i="5"/>
  <c r="I29" i="5"/>
  <c r="L28" i="5"/>
  <c r="M28" i="5" s="1"/>
  <c r="I28" i="5"/>
  <c r="F22" i="5"/>
  <c r="P22" i="5" s="1"/>
  <c r="F16" i="5"/>
  <c r="L16" i="5" s="1"/>
  <c r="M16" i="5" s="1"/>
  <c r="F17" i="5"/>
  <c r="L17" i="5" s="1"/>
  <c r="M17" i="5" s="1"/>
  <c r="F18" i="5"/>
  <c r="L18" i="5" s="1"/>
  <c r="M18" i="5" s="1"/>
  <c r="F19" i="5"/>
  <c r="L19" i="5" s="1"/>
  <c r="M19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P45" i="5" l="1"/>
  <c r="L45" i="5"/>
  <c r="M45" i="5" s="1"/>
  <c r="M27" i="5"/>
  <c r="P28" i="5"/>
  <c r="P21" i="5"/>
  <c r="P4" i="5"/>
  <c r="P44" i="5"/>
  <c r="P27" i="5"/>
  <c r="O27" i="5"/>
  <c r="N28" i="5"/>
  <c r="P29" i="5"/>
  <c r="L22" i="5"/>
  <c r="M22" i="5" s="1"/>
  <c r="P6" i="5"/>
  <c r="N5" i="5"/>
  <c r="P5" i="5"/>
  <c r="Q27" i="5" l="1"/>
  <c r="O28" i="5"/>
  <c r="N29" i="5"/>
  <c r="O4" i="5"/>
  <c r="N6" i="5"/>
  <c r="O5" i="5"/>
  <c r="Q28" i="5" l="1"/>
  <c r="O29" i="5"/>
  <c r="N30" i="5"/>
  <c r="Q4" i="5"/>
  <c r="O6" i="5"/>
  <c r="Q5" i="5"/>
  <c r="N7" i="5"/>
  <c r="O30" i="5" l="1"/>
  <c r="Q29" i="5"/>
  <c r="N31" i="5"/>
  <c r="O7" i="5"/>
  <c r="Q6" i="5"/>
  <c r="N8" i="5"/>
  <c r="O31" i="5" l="1"/>
  <c r="N32" i="5"/>
  <c r="O8" i="5"/>
  <c r="N9" i="5"/>
  <c r="P7" i="5" l="1"/>
  <c r="Q7" i="5" s="1"/>
  <c r="N33" i="5"/>
  <c r="O32" i="5"/>
  <c r="P31" i="5" s="1"/>
  <c r="Q31" i="5" s="1"/>
  <c r="P30" i="5"/>
  <c r="Q30" i="5" s="1"/>
  <c r="O9" i="5"/>
  <c r="P8" i="5" s="1"/>
  <c r="Q8" i="5" s="1"/>
  <c r="N10" i="5"/>
  <c r="O33" i="5" l="1"/>
  <c r="N34" i="5"/>
  <c r="O10" i="5"/>
  <c r="P9" i="5" s="1"/>
  <c r="Q9" i="5" s="1"/>
  <c r="N11" i="5"/>
  <c r="O34" i="5" l="1"/>
  <c r="P33" i="5" s="1"/>
  <c r="Q33" i="5" s="1"/>
  <c r="N35" i="5"/>
  <c r="P32" i="5"/>
  <c r="Q32" i="5" s="1"/>
  <c r="O11" i="5"/>
  <c r="N12" i="5"/>
  <c r="P10" i="5" l="1"/>
  <c r="Q10" i="5" s="1"/>
  <c r="N36" i="5"/>
  <c r="O35" i="5"/>
  <c r="O12" i="5"/>
  <c r="P11" i="5" s="1"/>
  <c r="Q11" i="5" s="1"/>
  <c r="N13" i="5"/>
  <c r="N37" i="5" l="1"/>
  <c r="O36" i="5"/>
  <c r="P35" i="5" s="1"/>
  <c r="Q35" i="5" s="1"/>
  <c r="P34" i="5"/>
  <c r="Q34" i="5" s="1"/>
  <c r="O13" i="5"/>
  <c r="N14" i="5"/>
  <c r="P12" i="5" l="1"/>
  <c r="Q12" i="5" s="1"/>
  <c r="O37" i="5"/>
  <c r="N38" i="5"/>
  <c r="O14" i="5"/>
  <c r="P13" i="5" s="1"/>
  <c r="Q13" i="5" s="1"/>
  <c r="N15" i="5"/>
  <c r="O38" i="5" l="1"/>
  <c r="P37" i="5" s="1"/>
  <c r="Q37" i="5" s="1"/>
  <c r="N39" i="5"/>
  <c r="P36" i="5"/>
  <c r="Q36" i="5" s="1"/>
  <c r="O15" i="5"/>
  <c r="N16" i="5"/>
  <c r="P14" i="5" l="1"/>
  <c r="Q14" i="5" s="1"/>
  <c r="O39" i="5"/>
  <c r="N40" i="5"/>
  <c r="O16" i="5"/>
  <c r="N17" i="5"/>
  <c r="P15" i="5" l="1"/>
  <c r="Q15" i="5" s="1"/>
  <c r="O40" i="5"/>
  <c r="P39" i="5" s="1"/>
  <c r="Q39" i="5" s="1"/>
  <c r="N41" i="5"/>
  <c r="P38" i="5"/>
  <c r="Q38" i="5" s="1"/>
  <c r="O17" i="5"/>
  <c r="N18" i="5"/>
  <c r="P16" i="5" l="1"/>
  <c r="Q16" i="5" s="1"/>
  <c r="O41" i="5"/>
  <c r="N42" i="5"/>
  <c r="O18" i="5"/>
  <c r="N19" i="5"/>
  <c r="P17" i="5" l="1"/>
  <c r="Q17" i="5" s="1"/>
  <c r="O42" i="5"/>
  <c r="P41" i="5" s="1"/>
  <c r="Q41" i="5" s="1"/>
  <c r="N43" i="5"/>
  <c r="P40" i="5"/>
  <c r="Q40" i="5" s="1"/>
  <c r="O19" i="5"/>
  <c r="N20" i="5"/>
  <c r="P18" i="5" l="1"/>
  <c r="Q18" i="5" s="1"/>
  <c r="O43" i="5"/>
  <c r="N44" i="5"/>
  <c r="O20" i="5"/>
  <c r="N21" i="5"/>
  <c r="P19" i="5" l="1"/>
  <c r="Q19" i="5" s="1"/>
  <c r="N45" i="5"/>
  <c r="O44" i="5"/>
  <c r="P43" i="5" s="1"/>
  <c r="Q43" i="5" s="1"/>
  <c r="P42" i="5"/>
  <c r="Q42" i="5" s="1"/>
  <c r="O21" i="5"/>
  <c r="P20" i="5" s="1"/>
  <c r="Q20" i="5" s="1"/>
  <c r="N22" i="5"/>
  <c r="Q22" i="5" l="1"/>
  <c r="R22" i="5" s="1"/>
  <c r="O22" i="5"/>
  <c r="O45" i="5"/>
  <c r="Q45" i="5"/>
  <c r="R45" i="5" s="1"/>
  <c r="Q44" i="5"/>
  <c r="Q21" i="5"/>
  <c r="R21" i="5" l="1"/>
  <c r="S45" i="5"/>
  <c r="T45" i="5" s="1"/>
  <c r="R44" i="5"/>
  <c r="S22" i="5"/>
  <c r="T22" i="5" s="1"/>
  <c r="S44" i="5" l="1"/>
  <c r="T44" i="5" s="1"/>
  <c r="R43" i="5"/>
  <c r="R20" i="5"/>
  <c r="S21" i="5"/>
  <c r="T21" i="5" s="1"/>
  <c r="R42" i="5" l="1"/>
  <c r="S43" i="5"/>
  <c r="T43" i="5" s="1"/>
  <c r="S20" i="5"/>
  <c r="T20" i="5" s="1"/>
  <c r="R19" i="5"/>
  <c r="S42" i="5" l="1"/>
  <c r="T42" i="5" s="1"/>
  <c r="R41" i="5"/>
  <c r="S19" i="5"/>
  <c r="T19" i="5" s="1"/>
  <c r="R18" i="5"/>
  <c r="S41" i="5" l="1"/>
  <c r="T41" i="5" s="1"/>
  <c r="R40" i="5"/>
  <c r="S18" i="5"/>
  <c r="T18" i="5" s="1"/>
  <c r="R17" i="5"/>
  <c r="S40" i="5" l="1"/>
  <c r="T40" i="5" s="1"/>
  <c r="R39" i="5"/>
  <c r="S17" i="5"/>
  <c r="T17" i="5" s="1"/>
  <c r="R16" i="5"/>
  <c r="S39" i="5" l="1"/>
  <c r="T39" i="5" s="1"/>
  <c r="R38" i="5"/>
  <c r="S16" i="5"/>
  <c r="T16" i="5" s="1"/>
  <c r="R15" i="5"/>
  <c r="S38" i="5" l="1"/>
  <c r="T38" i="5" s="1"/>
  <c r="R37" i="5"/>
  <c r="S15" i="5"/>
  <c r="T15" i="5" s="1"/>
  <c r="R14" i="5"/>
  <c r="S37" i="5" l="1"/>
  <c r="T37" i="5" s="1"/>
  <c r="R36" i="5"/>
  <c r="S14" i="5"/>
  <c r="T14" i="5" s="1"/>
  <c r="R13" i="5"/>
  <c r="S36" i="5" l="1"/>
  <c r="T36" i="5" s="1"/>
  <c r="R35" i="5"/>
  <c r="R12" i="5"/>
  <c r="S13" i="5"/>
  <c r="T13" i="5" s="1"/>
  <c r="S35" i="5" l="1"/>
  <c r="T35" i="5" s="1"/>
  <c r="R34" i="5"/>
  <c r="S12" i="5"/>
  <c r="T12" i="5" s="1"/>
  <c r="R11" i="5"/>
  <c r="R33" i="5" l="1"/>
  <c r="S34" i="5"/>
  <c r="T34" i="5" s="1"/>
  <c r="S11" i="5"/>
  <c r="T11" i="5" s="1"/>
  <c r="R10" i="5"/>
  <c r="S33" i="5" l="1"/>
  <c r="T33" i="5" s="1"/>
  <c r="R32" i="5"/>
  <c r="S10" i="5"/>
  <c r="T10" i="5" s="1"/>
  <c r="R9" i="5"/>
  <c r="S32" i="5" l="1"/>
  <c r="T32" i="5" s="1"/>
  <c r="R31" i="5"/>
  <c r="S9" i="5"/>
  <c r="T9" i="5" s="1"/>
  <c r="R8" i="5"/>
  <c r="S31" i="5" l="1"/>
  <c r="T31" i="5" s="1"/>
  <c r="R30" i="5"/>
  <c r="S8" i="5"/>
  <c r="T8" i="5" s="1"/>
  <c r="R7" i="5"/>
  <c r="S30" i="5" l="1"/>
  <c r="T30" i="5" s="1"/>
  <c r="R29" i="5"/>
  <c r="S7" i="5"/>
  <c r="T7" i="5" s="1"/>
  <c r="R6" i="5"/>
  <c r="R28" i="5" l="1"/>
  <c r="R27" i="5" s="1"/>
  <c r="S27" i="5" s="1"/>
  <c r="S29" i="5"/>
  <c r="T29" i="5" s="1"/>
  <c r="S6" i="5"/>
  <c r="T6" i="5" s="1"/>
  <c r="R5" i="5"/>
  <c r="T27" i="5" l="1"/>
  <c r="AA28" i="5"/>
  <c r="AA30" i="5" s="1"/>
  <c r="S28" i="5"/>
  <c r="T28" i="5" s="1"/>
  <c r="S5" i="5"/>
  <c r="T5" i="5" s="1"/>
  <c r="R4" i="5"/>
  <c r="S4" i="5" s="1"/>
  <c r="T4" i="5" l="1"/>
  <c r="Z28" i="5"/>
  <c r="Z30" i="5" s="1"/>
</calcChain>
</file>

<file path=xl/sharedStrings.xml><?xml version="1.0" encoding="utf-8"?>
<sst xmlns="http://schemas.openxmlformats.org/spreadsheetml/2006/main" count="1594" uniqueCount="33">
  <si>
    <t>year</t>
  </si>
  <si>
    <t>sex</t>
  </si>
  <si>
    <t>age</t>
  </si>
  <si>
    <t>deaths</t>
  </si>
  <si>
    <t>male</t>
  </si>
  <si>
    <t>female</t>
  </si>
  <si>
    <t>mx</t>
  </si>
  <si>
    <t>qx</t>
  </si>
  <si>
    <t>lx</t>
  </si>
  <si>
    <t>dx</t>
  </si>
  <si>
    <t>Lx</t>
  </si>
  <si>
    <t>Tx</t>
  </si>
  <si>
    <t>ex</t>
  </si>
  <si>
    <t>Age x</t>
  </si>
  <si>
    <t>n</t>
  </si>
  <si>
    <t>nDx</t>
  </si>
  <si>
    <t>nDxi</t>
  </si>
  <si>
    <t>nqx_i</t>
  </si>
  <si>
    <t>ndx_i</t>
  </si>
  <si>
    <t>L</t>
  </si>
  <si>
    <t>T</t>
  </si>
  <si>
    <t>diff</t>
  </si>
  <si>
    <t>nqx</t>
  </si>
  <si>
    <t>ax</t>
  </si>
  <si>
    <t>NA</t>
  </si>
  <si>
    <t>e0</t>
  </si>
  <si>
    <t>e0_i</t>
  </si>
  <si>
    <t>Hombres</t>
  </si>
  <si>
    <t>Mujeres</t>
  </si>
  <si>
    <t>Sin homicidios</t>
  </si>
  <si>
    <t>Con homicidios</t>
  </si>
  <si>
    <t>Hombres, 2019</t>
  </si>
  <si>
    <t>Mujeres,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</si>
</sst>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.00;[Red]0.00"/>
    <numFmt numFmtId="170" formatCode="0.00000_ ;\-0.00000\ "/>
    <numFmt numFmtId="171" formatCode="0.0000"/>
    <numFmt numFmtId="173" formatCode="#,##0_ ;\-#,##0\ "/>
    <numFmt numFmtId="174" formatCode="0.000"/>
    <numFmt numFmtId="177" formatCode="#,##0.00000"/>
    <numFmt numFmtId="178" formatCode="0.000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Georgia"/>
      <family val="1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61851863155"/>
        <bgColor indexed="64"/>
      </patternFill>
    </fill>
    <fill>
      <patternFill patternType="solid">
        <fgColor rgb="FFF4838A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EEB4B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11" fontId="0" fillId="0" borderId="0" xfId="0" applyNumberFormat="1"/>
    <xf numFmtId="2" fontId="0" fillId="0" borderId="0" xfId="0" applyNumberFormat="1"/>
    <xf numFmtId="0" fontId="18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2" fontId="0" fillId="0" borderId="17" xfId="0" applyNumberFormat="1" applyBorder="1"/>
    <xf numFmtId="0" fontId="19" fillId="0" borderId="18" xfId="0" applyFont="1" applyBorder="1" applyAlignment="1">
      <alignment horizontal="center" vertical="center"/>
    </xf>
    <xf numFmtId="0" fontId="0" fillId="0" borderId="0" xfId="0" applyBorder="1"/>
    <xf numFmtId="3" fontId="0" fillId="0" borderId="0" xfId="0" applyNumberFormat="1" applyBorder="1"/>
    <xf numFmtId="174" fontId="0" fillId="0" borderId="0" xfId="0" applyNumberFormat="1" applyBorder="1"/>
    <xf numFmtId="170" fontId="0" fillId="0" borderId="0" xfId="0" applyNumberFormat="1" applyBorder="1"/>
    <xf numFmtId="177" fontId="0" fillId="0" borderId="0" xfId="0" applyNumberFormat="1" applyBorder="1"/>
    <xf numFmtId="171" fontId="0" fillId="0" borderId="0" xfId="0" applyNumberFormat="1" applyBorder="1"/>
    <xf numFmtId="2" fontId="0" fillId="0" borderId="0" xfId="0" applyNumberFormat="1" applyBorder="1"/>
    <xf numFmtId="178" fontId="0" fillId="0" borderId="0" xfId="0" applyNumberFormat="1" applyBorder="1"/>
    <xf numFmtId="0" fontId="0" fillId="0" borderId="10" xfId="0" applyBorder="1"/>
    <xf numFmtId="2" fontId="0" fillId="0" borderId="11" xfId="0" applyNumberFormat="1" applyBorder="1"/>
    <xf numFmtId="0" fontId="0" fillId="0" borderId="12" xfId="0" applyBorder="1"/>
    <xf numFmtId="0" fontId="0" fillId="0" borderId="13" xfId="0" applyBorder="1"/>
    <xf numFmtId="3" fontId="0" fillId="0" borderId="13" xfId="0" applyNumberFormat="1" applyBorder="1"/>
    <xf numFmtId="174" fontId="0" fillId="0" borderId="13" xfId="0" applyNumberFormat="1" applyBorder="1"/>
    <xf numFmtId="170" fontId="0" fillId="0" borderId="13" xfId="0" applyNumberFormat="1" applyBorder="1"/>
    <xf numFmtId="171" fontId="0" fillId="0" borderId="13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178" fontId="0" fillId="0" borderId="13" xfId="0" applyNumberFormat="1" applyBorder="1"/>
    <xf numFmtId="177" fontId="0" fillId="0" borderId="13" xfId="0" applyNumberFormat="1" applyBorder="1"/>
    <xf numFmtId="0" fontId="23" fillId="33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3" fontId="0" fillId="35" borderId="0" xfId="0" applyNumberFormat="1" applyFill="1" applyBorder="1"/>
    <xf numFmtId="0" fontId="0" fillId="35" borderId="0" xfId="0" applyFill="1" applyBorder="1"/>
    <xf numFmtId="3" fontId="0" fillId="35" borderId="13" xfId="0" applyNumberFormat="1" applyFill="1" applyBorder="1"/>
    <xf numFmtId="0" fontId="0" fillId="35" borderId="13" xfId="0" applyFill="1" applyBorder="1"/>
    <xf numFmtId="168" fontId="0" fillId="35" borderId="0" xfId="0" applyNumberFormat="1" applyFill="1" applyBorder="1"/>
    <xf numFmtId="168" fontId="0" fillId="35" borderId="13" xfId="0" applyNumberFormat="1" applyFill="1" applyBorder="1"/>
    <xf numFmtId="173" fontId="0" fillId="35" borderId="0" xfId="0" applyNumberFormat="1" applyFill="1" applyBorder="1"/>
    <xf numFmtId="170" fontId="0" fillId="35" borderId="0" xfId="0" applyNumberFormat="1" applyFill="1" applyBorder="1"/>
    <xf numFmtId="173" fontId="0" fillId="35" borderId="13" xfId="0" applyNumberFormat="1" applyFill="1" applyBorder="1"/>
    <xf numFmtId="170" fontId="0" fillId="35" borderId="13" xfId="0" applyNumberFormat="1" applyFill="1" applyBorder="1"/>
    <xf numFmtId="0" fontId="24" fillId="35" borderId="0" xfId="0" applyFont="1" applyFill="1" applyBorder="1"/>
    <xf numFmtId="2" fontId="0" fillId="35" borderId="13" xfId="0" applyNumberFormat="1" applyFill="1" applyBorder="1"/>
    <xf numFmtId="2" fontId="24" fillId="35" borderId="0" xfId="0" applyNumberFormat="1" applyFont="1" applyFill="1" applyBorder="1"/>
    <xf numFmtId="3" fontId="0" fillId="36" borderId="0" xfId="0" applyNumberFormat="1" applyFill="1" applyBorder="1"/>
    <xf numFmtId="3" fontId="0" fillId="36" borderId="13" xfId="0" applyNumberFormat="1" applyFill="1" applyBorder="1"/>
    <xf numFmtId="171" fontId="0" fillId="36" borderId="0" xfId="0" applyNumberFormat="1" applyFill="1" applyBorder="1"/>
    <xf numFmtId="171" fontId="0" fillId="36" borderId="13" xfId="0" applyNumberFormat="1" applyFill="1" applyBorder="1"/>
    <xf numFmtId="2" fontId="0" fillId="36" borderId="0" xfId="0" applyNumberFormat="1" applyFill="1" applyBorder="1"/>
    <xf numFmtId="2" fontId="0" fillId="36" borderId="13" xfId="0" applyNumberFormat="1" applyFill="1" applyBorder="1"/>
    <xf numFmtId="2" fontId="24" fillId="36" borderId="0" xfId="0" applyNumberFormat="1" applyFont="1" applyFill="1" applyBorder="1"/>
    <xf numFmtId="0" fontId="0" fillId="0" borderId="17" xfId="0" applyBorder="1"/>
    <xf numFmtId="0" fontId="0" fillId="35" borderId="0" xfId="0" applyFill="1"/>
    <xf numFmtId="11" fontId="0" fillId="35" borderId="0" xfId="0" applyNumberFormat="1" applyFill="1"/>
    <xf numFmtId="178" fontId="0" fillId="35" borderId="0" xfId="0" applyNumberFormat="1" applyFill="1"/>
    <xf numFmtId="0" fontId="0" fillId="36" borderId="0" xfId="0" applyFill="1"/>
    <xf numFmtId="11" fontId="0" fillId="36" borderId="0" xfId="0" applyNumberFormat="1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EB4B9"/>
      <color rgb="FFFFF988"/>
      <color rgb="FF000000"/>
      <color rgb="FFF483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Hombres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nqx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Múltiples'!$I$4:$I$22</c:f>
              <c:numCache>
                <c:formatCode>0.00000_ ;\-0.00000\ </c:formatCode>
                <c:ptCount val="19"/>
                <c:pt idx="0">
                  <c:v>1.3946000000000014E-2</c:v>
                </c:pt>
                <c:pt idx="1">
                  <c:v>2.4039999999999617E-3</c:v>
                </c:pt>
                <c:pt idx="2">
                  <c:v>1.2339999999999574E-3</c:v>
                </c:pt>
                <c:pt idx="3">
                  <c:v>1.6850000000000476E-3</c:v>
                </c:pt>
                <c:pt idx="4">
                  <c:v>6.1419999999999808E-3</c:v>
                </c:pt>
                <c:pt idx="5">
                  <c:v>1.1511000000000049E-2</c:v>
                </c:pt>
                <c:pt idx="6">
                  <c:v>1.4440000000000008E-2</c:v>
                </c:pt>
                <c:pt idx="7">
                  <c:v>1.5490000000000004E-2</c:v>
                </c:pt>
                <c:pt idx="8">
                  <c:v>1.7660000000000009E-2</c:v>
                </c:pt>
                <c:pt idx="9">
                  <c:v>2.2155000000000036E-2</c:v>
                </c:pt>
                <c:pt idx="10">
                  <c:v>2.7981000000000034E-2</c:v>
                </c:pt>
                <c:pt idx="11">
                  <c:v>3.7038000000000015E-2</c:v>
                </c:pt>
                <c:pt idx="12">
                  <c:v>5.4463000000000039E-2</c:v>
                </c:pt>
                <c:pt idx="13">
                  <c:v>7.3455999999999966E-2</c:v>
                </c:pt>
                <c:pt idx="14">
                  <c:v>0.10043299999999999</c:v>
                </c:pt>
                <c:pt idx="15">
                  <c:v>0.14434199999999997</c:v>
                </c:pt>
                <c:pt idx="16">
                  <c:v>0.20918300000000001</c:v>
                </c:pt>
                <c:pt idx="17">
                  <c:v>0.31352200000000008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3-F64A-A9AA-ACDD221457E5}"/>
            </c:ext>
          </c:extLst>
        </c:ser>
        <c:ser>
          <c:idx val="2"/>
          <c:order val="1"/>
          <c:tx>
            <c:v>nqx_i</c:v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Múltiples'!$M$4:$M$22</c:f>
              <c:numCache>
                <c:formatCode>0.00000_ ;\-0.00000\ </c:formatCode>
                <c:ptCount val="19"/>
                <c:pt idx="0" formatCode="#,##0.00000">
                  <c:v>1.3903020973673352E-2</c:v>
                </c:pt>
                <c:pt idx="1">
                  <c:v>2.3464116259447332E-3</c:v>
                </c:pt>
                <c:pt idx="2">
                  <c:v>1.1287908771568933E-3</c:v>
                </c:pt>
                <c:pt idx="3">
                  <c:v>1.3790595984262133E-3</c:v>
                </c:pt>
                <c:pt idx="4">
                  <c:v>3.1315054223658434E-3</c:v>
                </c:pt>
                <c:pt idx="5">
                  <c:v>5.1155488440564056E-3</c:v>
                </c:pt>
                <c:pt idx="6">
                  <c:v>6.2125452412322701E-3</c:v>
                </c:pt>
                <c:pt idx="7">
                  <c:v>7.2685023717101727E-3</c:v>
                </c:pt>
                <c:pt idx="8">
                  <c:v>9.9183630556285429E-3</c:v>
                </c:pt>
                <c:pt idx="9">
                  <c:v>1.5602686685402434E-2</c:v>
                </c:pt>
                <c:pt idx="10">
                  <c:v>2.2467067627937709E-2</c:v>
                </c:pt>
                <c:pt idx="11">
                  <c:v>3.2891970689251981E-2</c:v>
                </c:pt>
                <c:pt idx="12">
                  <c:v>5.2018801097830969E-2</c:v>
                </c:pt>
                <c:pt idx="13">
                  <c:v>7.1362797189677973E-2</c:v>
                </c:pt>
                <c:pt idx="14">
                  <c:v>9.938275769794247E-2</c:v>
                </c:pt>
                <c:pt idx="15">
                  <c:v>0.1430997345212498</c:v>
                </c:pt>
                <c:pt idx="16">
                  <c:v>0.20832039224158505</c:v>
                </c:pt>
                <c:pt idx="17">
                  <c:v>0.31293922155219289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3-F64A-A9AA-ACDD221457E5}"/>
            </c:ext>
          </c:extLst>
        </c:ser>
        <c:ser>
          <c:idx val="0"/>
          <c:order val="2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B03-F64A-A9AA-ACDD2214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29264"/>
        <c:axId val="170460224"/>
      </c:lineChart>
      <c:catAx>
        <c:axId val="1699292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460224"/>
        <c:crosses val="max"/>
        <c:auto val="1"/>
        <c:lblAlgn val="ctr"/>
        <c:lblOffset val="100"/>
        <c:noMultiLvlLbl val="0"/>
      </c:catAx>
      <c:valAx>
        <c:axId val="170460224"/>
        <c:scaling>
          <c:logBase val="10"/>
          <c:orientation val="minMax"/>
          <c:min val="1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\-0.00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9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Mujeres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5380907150191564"/>
          <c:y val="0.22103200051218364"/>
          <c:w val="0.83222583946129502"/>
          <c:h val="0.62679357124640667"/>
        </c:manualLayout>
      </c:layout>
      <c:lineChart>
        <c:grouping val="stacked"/>
        <c:varyColors val="0"/>
        <c:ser>
          <c:idx val="1"/>
          <c:order val="0"/>
          <c:tx>
            <c:v>nqx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Múltiples'!$I$27:$I$45</c:f>
              <c:numCache>
                <c:formatCode>0.00000</c:formatCode>
                <c:ptCount val="19"/>
                <c:pt idx="0">
                  <c:v>1.1206000000000049E-2</c:v>
                </c:pt>
                <c:pt idx="1">
                  <c:v>2.0940000000000403E-3</c:v>
                </c:pt>
                <c:pt idx="2">
                  <c:v>1.0639999999999539E-3</c:v>
                </c:pt>
                <c:pt idx="3">
                  <c:v>1.2100000000000444E-3</c:v>
                </c:pt>
                <c:pt idx="4">
                  <c:v>2.3159999999999847E-3</c:v>
                </c:pt>
                <c:pt idx="5">
                  <c:v>3.0310000000000059E-3</c:v>
                </c:pt>
                <c:pt idx="6">
                  <c:v>3.6869999999999958E-3</c:v>
                </c:pt>
                <c:pt idx="7">
                  <c:v>4.438000000000053E-3</c:v>
                </c:pt>
                <c:pt idx="8">
                  <c:v>5.9169999999999501E-3</c:v>
                </c:pt>
                <c:pt idx="9">
                  <c:v>8.7890000000000468E-3</c:v>
                </c:pt>
                <c:pt idx="10">
                  <c:v>1.3494000000000006E-2</c:v>
                </c:pt>
                <c:pt idx="11">
                  <c:v>2.0159000000000038E-2</c:v>
                </c:pt>
                <c:pt idx="12">
                  <c:v>3.3218999999999999E-2</c:v>
                </c:pt>
                <c:pt idx="13">
                  <c:v>4.8167999999999989E-2</c:v>
                </c:pt>
                <c:pt idx="14">
                  <c:v>7.1137000000000006E-2</c:v>
                </c:pt>
                <c:pt idx="15">
                  <c:v>0.10592199999999996</c:v>
                </c:pt>
                <c:pt idx="16">
                  <c:v>0.16873800000000005</c:v>
                </c:pt>
                <c:pt idx="17">
                  <c:v>0.26314300000000002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C-1B42-8F11-3EB0BA215154}"/>
            </c:ext>
          </c:extLst>
        </c:ser>
        <c:ser>
          <c:idx val="2"/>
          <c:order val="1"/>
          <c:tx>
            <c:v>nqx_i</c:v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Múltiples'!$M$27:$M$45</c:f>
              <c:numCache>
                <c:formatCode>#,##0.00000</c:formatCode>
                <c:ptCount val="19"/>
                <c:pt idx="0">
                  <c:v>1.1183072302224817E-2</c:v>
                </c:pt>
                <c:pt idx="1">
                  <c:v>2.0494924957882299E-3</c:v>
                </c:pt>
                <c:pt idx="2">
                  <c:v>1.0296950964208129E-3</c:v>
                </c:pt>
                <c:pt idx="3">
                  <c:v>1.1124736538092872E-3</c:v>
                </c:pt>
                <c:pt idx="4">
                  <c:v>1.6833821940777094E-3</c:v>
                </c:pt>
                <c:pt idx="5">
                  <c:v>2.0848006915392681E-3</c:v>
                </c:pt>
                <c:pt idx="6">
                  <c:v>2.5851207656848452E-3</c:v>
                </c:pt>
                <c:pt idx="7">
                  <c:v>3.5018027358810766E-3</c:v>
                </c:pt>
                <c:pt idx="8">
                  <c:v>5.1573734880663302E-3</c:v>
                </c:pt>
                <c:pt idx="9">
                  <c:v>8.1777597221929232E-3</c:v>
                </c:pt>
                <c:pt idx="10">
                  <c:v>1.3010423026554085E-2</c:v>
                </c:pt>
                <c:pt idx="11">
                  <c:v>1.9734947330613539E-2</c:v>
                </c:pt>
                <c:pt idx="12">
                  <c:v>3.281614546668532E-2</c:v>
                </c:pt>
                <c:pt idx="13">
                  <c:v>4.7914429357645227E-2</c:v>
                </c:pt>
                <c:pt idx="14">
                  <c:v>7.077065926343884E-2</c:v>
                </c:pt>
                <c:pt idx="15">
                  <c:v>0.1058536677009323</c:v>
                </c:pt>
                <c:pt idx="16">
                  <c:v>0.16853974960320894</c:v>
                </c:pt>
                <c:pt idx="17">
                  <c:v>0.26302036979073296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C-1B42-8F11-3EB0BA215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40160"/>
        <c:axId val="1218442223"/>
      </c:lineChart>
      <c:catAx>
        <c:axId val="1480401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8442223"/>
        <c:crosses val="max"/>
        <c:auto val="1"/>
        <c:lblAlgn val="ctr"/>
        <c:lblOffset val="100"/>
        <c:noMultiLvlLbl val="0"/>
      </c:catAx>
      <c:valAx>
        <c:axId val="1218442223"/>
        <c:scaling>
          <c:logBase val="10"/>
          <c:orientation val="minMax"/>
          <c:max val="1"/>
          <c:min val="1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Múltiples'!$Y$28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rgbClr val="FFF988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F988"/>
              </a:solidFill>
              <a:ln>
                <a:solidFill>
                  <a:schemeClr val="bg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4B2-7E44-8C7E-D0B3BF91132F}"/>
              </c:ext>
            </c:extLst>
          </c:dPt>
          <c:cat>
            <c:strRef>
              <c:f>'Decrementos Múltiples'!$Z$27:$AA$27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Múltiples'!$Z$28:$AA$28</c:f>
              <c:numCache>
                <c:formatCode>0.00</c:formatCode>
                <c:ptCount val="2"/>
                <c:pt idx="0">
                  <c:v>73.296073797634492</c:v>
                </c:pt>
                <c:pt idx="1">
                  <c:v>79.749583806115822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2-7E44-8C7E-D0B3BF91132F}"/>
            </c:ext>
          </c:extLst>
        </c:ser>
        <c:ser>
          <c:idx val="1"/>
          <c:order val="1"/>
          <c:tx>
            <c:strRef>
              <c:f>'Decrementos Múltiples'!$Y$29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0800" dist="50800" dir="5400000" algn="ctr" rotWithShape="0">
                <a:schemeClr val="accent1">
                  <a:lumMod val="75000"/>
                </a:schemeClr>
              </a:outerShdw>
            </a:effectLst>
          </c:spPr>
          <c:invertIfNegative val="0"/>
          <c:cat>
            <c:strRef>
              <c:f>'Decrementos Múltiples'!$Z$27:$AA$27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Múltiples'!$Z$29:$AA$29</c:f>
              <c:numCache>
                <c:formatCode>0.00</c:formatCode>
                <c:ptCount val="2"/>
                <c:pt idx="0">
                  <c:v>72.41</c:v>
                </c:pt>
                <c:pt idx="1">
                  <c:v>78.97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2-7E44-8C7E-D0B3BF911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725791"/>
        <c:axId val="1250109231"/>
      </c:barChart>
      <c:catAx>
        <c:axId val="125072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0109231"/>
        <c:crosses val="autoZero"/>
        <c:auto val="1"/>
        <c:lblAlgn val="ctr"/>
        <c:lblOffset val="100"/>
        <c:noMultiLvlLbl val="0"/>
      </c:catAx>
      <c:valAx>
        <c:axId val="12501092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</c:majorGridlines>
        <c:numFmt formatCode="0.00" sourceLinked="1"/>
        <c:majorTickMark val="none"/>
        <c:minorTickMark val="none"/>
        <c:tickLblPos val="nextTo"/>
        <c:crossAx val="12507257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CCC40FCE-73D5-AF46-93AC-612DC8127C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9550" y="50577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3" name="image8.png" title="Image">
          <a:extLst>
            <a:ext uri="{FF2B5EF4-FFF2-40B4-BE49-F238E27FC236}">
              <a16:creationId xmlns:a16="http://schemas.microsoft.com/office/drawing/2014/main" id="{EE8CA71C-E391-1746-A135-D164B9C161D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64300" y="50625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AF115471-CBC7-BF47-A76E-18137C7F57C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45490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C8BBA651-6A02-7040-B50E-454BA1B8D2F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69010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9F39F866-68FD-DE47-AB52-D4E992B783C1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795000" y="50625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6EB7C3B0-7701-E849-83F7-2A4AB68F4F6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6180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8" name="image4.png" title="Image">
          <a:extLst>
            <a:ext uri="{FF2B5EF4-FFF2-40B4-BE49-F238E27FC236}">
              <a16:creationId xmlns:a16="http://schemas.microsoft.com/office/drawing/2014/main" id="{A553555E-1692-4847-87D3-477F3BAEB32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071600" y="50577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9" name="image3.png" title="Image">
          <a:extLst>
            <a:ext uri="{FF2B5EF4-FFF2-40B4-BE49-F238E27FC236}">
              <a16:creationId xmlns:a16="http://schemas.microsoft.com/office/drawing/2014/main" id="{4864512F-1816-CB43-BD4C-DB868CD5ACF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28140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78DDEAD8-2CDC-9E40-9EFA-B1186C853AA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558000" y="5057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349250</xdr:colOff>
      <xdr:row>2</xdr:row>
      <xdr:rowOff>66675</xdr:rowOff>
    </xdr:from>
    <xdr:ext cx="323850" cy="266700"/>
    <xdr:pic>
      <xdr:nvPicPr>
        <xdr:cNvPr id="20" name="image9.png" title="Image">
          <a:extLst>
            <a:ext uri="{FF2B5EF4-FFF2-40B4-BE49-F238E27FC236}">
              <a16:creationId xmlns:a16="http://schemas.microsoft.com/office/drawing/2014/main" id="{66AF0A44-0181-E649-A923-D0F34B81CD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05614" y="5065857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</xdr:row>
      <xdr:rowOff>71438</xdr:rowOff>
    </xdr:from>
    <xdr:ext cx="171450" cy="257175"/>
    <xdr:pic>
      <xdr:nvPicPr>
        <xdr:cNvPr id="21" name="image8.png" title="Image">
          <a:extLst>
            <a:ext uri="{FF2B5EF4-FFF2-40B4-BE49-F238E27FC236}">
              <a16:creationId xmlns:a16="http://schemas.microsoft.com/office/drawing/2014/main" id="{BC5CC0A3-C121-5F4B-9713-A6B72E0EBFC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736" y="5070620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</xdr:row>
      <xdr:rowOff>71438</xdr:rowOff>
    </xdr:from>
    <xdr:ext cx="381000" cy="257175"/>
    <xdr:pic>
      <xdr:nvPicPr>
        <xdr:cNvPr id="22" name="image6.png" title="Image">
          <a:extLst>
            <a:ext uri="{FF2B5EF4-FFF2-40B4-BE49-F238E27FC236}">
              <a16:creationId xmlns:a16="http://schemas.microsoft.com/office/drawing/2014/main" id="{1DBA78C4-2370-654E-8AA5-35118D0B6F5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96891" y="5070620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</xdr:row>
      <xdr:rowOff>71438</xdr:rowOff>
    </xdr:from>
    <xdr:ext cx="381000" cy="257175"/>
    <xdr:pic>
      <xdr:nvPicPr>
        <xdr:cNvPr id="23" name="image7.png" title="Image">
          <a:extLst>
            <a:ext uri="{FF2B5EF4-FFF2-40B4-BE49-F238E27FC236}">
              <a16:creationId xmlns:a16="http://schemas.microsoft.com/office/drawing/2014/main" id="{6A14D840-F4D1-D54E-A1E9-7E639C5E46E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27109" y="5070620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</xdr:row>
      <xdr:rowOff>71438</xdr:rowOff>
    </xdr:from>
    <xdr:ext cx="352425" cy="257175"/>
    <xdr:pic>
      <xdr:nvPicPr>
        <xdr:cNvPr id="24" name="image2.png" title="Image">
          <a:extLst>
            <a:ext uri="{FF2B5EF4-FFF2-40B4-BE49-F238E27FC236}">
              <a16:creationId xmlns:a16="http://schemas.microsoft.com/office/drawing/2014/main" id="{D4E868A4-F4F3-A04C-99D1-49824EA3726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931564" y="5070620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</xdr:row>
      <xdr:rowOff>66675</xdr:rowOff>
    </xdr:from>
    <xdr:ext cx="476250" cy="266700"/>
    <xdr:pic>
      <xdr:nvPicPr>
        <xdr:cNvPr id="25" name="image5.png" title="Image">
          <a:extLst>
            <a:ext uri="{FF2B5EF4-FFF2-40B4-BE49-F238E27FC236}">
              <a16:creationId xmlns:a16="http://schemas.microsoft.com/office/drawing/2014/main" id="{9BEE7BCA-4D8F-8748-B669-EBA12ECE103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24736" y="5065857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</xdr:row>
      <xdr:rowOff>66675</xdr:rowOff>
    </xdr:from>
    <xdr:ext cx="390525" cy="266700"/>
    <xdr:pic>
      <xdr:nvPicPr>
        <xdr:cNvPr id="26" name="image4.png" title="Image">
          <a:extLst>
            <a:ext uri="{FF2B5EF4-FFF2-40B4-BE49-F238E27FC236}">
              <a16:creationId xmlns:a16="http://schemas.microsoft.com/office/drawing/2014/main" id="{F9936AFD-70F1-1C49-8425-58B4E7166DB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87282" y="5065857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</xdr:row>
      <xdr:rowOff>66675</xdr:rowOff>
    </xdr:from>
    <xdr:ext cx="476250" cy="266700"/>
    <xdr:pic>
      <xdr:nvPicPr>
        <xdr:cNvPr id="27" name="image3.png" title="Image">
          <a:extLst>
            <a:ext uri="{FF2B5EF4-FFF2-40B4-BE49-F238E27FC236}">
              <a16:creationId xmlns:a16="http://schemas.microsoft.com/office/drawing/2014/main" id="{2AF64127-41D9-3C4C-B9EC-1127DAECC85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049827" y="5065857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</xdr:row>
      <xdr:rowOff>66675</xdr:rowOff>
    </xdr:from>
    <xdr:ext cx="428625" cy="266700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3DA48360-9FE1-5F42-B205-E92FD2D9FEB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232909" y="5065857"/>
          <a:ext cx="428625" cy="266700"/>
        </a:xfrm>
        <a:prstGeom prst="rect">
          <a:avLst/>
        </a:prstGeom>
        <a:noFill/>
      </xdr:spPr>
    </xdr:pic>
    <xdr:clientData fLocksWithSheet="0"/>
  </xdr:oneCellAnchor>
  <xdr:twoCellAnchor>
    <xdr:from>
      <xdr:col>21</xdr:col>
      <xdr:colOff>657362</xdr:colOff>
      <xdr:row>1</xdr:row>
      <xdr:rowOff>198582</xdr:rowOff>
    </xdr:from>
    <xdr:to>
      <xdr:col>29</xdr:col>
      <xdr:colOff>232248</xdr:colOff>
      <xdr:row>22</xdr:row>
      <xdr:rowOff>21936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62E8ED71-59F6-A8B3-7D22-C6D212B80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830860</xdr:colOff>
      <xdr:row>1</xdr:row>
      <xdr:rowOff>154461</xdr:rowOff>
    </xdr:from>
    <xdr:to>
      <xdr:col>38</xdr:col>
      <xdr:colOff>2885</xdr:colOff>
      <xdr:row>22</xdr:row>
      <xdr:rowOff>178953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D86D439A-B744-B7B2-E81C-00B7316C1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415786</xdr:colOff>
      <xdr:row>31</xdr:row>
      <xdr:rowOff>172606</xdr:rowOff>
    </xdr:from>
    <xdr:to>
      <xdr:col>32</xdr:col>
      <xdr:colOff>170142</xdr:colOff>
      <xdr:row>47</xdr:row>
      <xdr:rowOff>47093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E7781553-D735-C393-0A7E-6E5A726A4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cortes/Desktop/LT_CausaEliminada.xlsx" TargetMode="External"/><Relationship Id="rId1" Type="http://schemas.openxmlformats.org/officeDocument/2006/relationships/externalLinkPath" Target="/Users/carloscortes/Desktop/LT_CausaElimin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/>
      <sheetData sheetId="1"/>
      <sheetData sheetId="2"/>
      <sheetData sheetId="3"/>
      <sheetData sheetId="4">
        <row r="96">
          <cell r="E96">
            <v>0.12823000000000001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72DE-3A0A-F645-86EB-AB5A157AEAFD}">
  <dimension ref="B2:AA45"/>
  <sheetViews>
    <sheetView showGridLines="0" tabSelected="1" zoomScale="60" zoomScaleNormal="60" workbookViewId="0">
      <selection activeCell="V34" sqref="V34"/>
    </sheetView>
  </sheetViews>
  <sheetFormatPr baseColWidth="10" defaultRowHeight="16" x14ac:dyDescent="0.2"/>
  <cols>
    <col min="7" max="7" width="13.1640625" bestFit="1" customWidth="1"/>
    <col min="8" max="8" width="10.5" customWidth="1"/>
    <col min="9" max="9" width="10.6640625" customWidth="1"/>
    <col min="10" max="10" width="13.1640625" bestFit="1" customWidth="1"/>
    <col min="17" max="17" width="15.1640625" bestFit="1" customWidth="1"/>
    <col min="18" max="18" width="16.1640625" bestFit="1" customWidth="1"/>
    <col min="25" max="25" width="15.1640625" customWidth="1"/>
  </cols>
  <sheetData>
    <row r="2" spans="2:20" x14ac:dyDescent="0.2">
      <c r="B2" s="30" t="s">
        <v>31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2:20" ht="29" customHeight="1" x14ac:dyDescent="0.2">
      <c r="B3" s="3" t="s">
        <v>13</v>
      </c>
      <c r="C3" s="4" t="s">
        <v>14</v>
      </c>
      <c r="D3" s="4" t="s">
        <v>15</v>
      </c>
      <c r="E3" s="4" t="s">
        <v>16</v>
      </c>
      <c r="F3" s="5"/>
      <c r="G3" s="6"/>
      <c r="H3" s="6"/>
      <c r="I3" s="6" t="s">
        <v>22</v>
      </c>
      <c r="J3" s="6"/>
      <c r="K3" s="7" t="s">
        <v>25</v>
      </c>
      <c r="L3" s="6"/>
      <c r="M3" s="6" t="s">
        <v>17</v>
      </c>
      <c r="N3" s="6"/>
      <c r="O3" s="6" t="s">
        <v>18</v>
      </c>
      <c r="P3" s="6"/>
      <c r="Q3" s="6" t="s">
        <v>19</v>
      </c>
      <c r="R3" s="6" t="s">
        <v>20</v>
      </c>
      <c r="S3" s="7" t="s">
        <v>26</v>
      </c>
      <c r="T3" s="9" t="s">
        <v>21</v>
      </c>
    </row>
    <row r="4" spans="2:20" x14ac:dyDescent="0.2">
      <c r="B4" s="18">
        <v>0</v>
      </c>
      <c r="C4" s="10">
        <v>1</v>
      </c>
      <c r="D4" s="32">
        <f>'Defunciones generales'!D21</f>
        <v>644.43531112688504</v>
      </c>
      <c r="E4" s="33">
        <f>Homicidios!D543</f>
        <v>2</v>
      </c>
      <c r="F4" s="12">
        <f>(D4-E4)/D4</f>
        <v>0.99689650774023741</v>
      </c>
      <c r="G4" s="38">
        <f>LT!H40</f>
        <v>100000</v>
      </c>
      <c r="H4" s="39">
        <f>1-LT!G40</f>
        <v>0.98605399999999999</v>
      </c>
      <c r="I4" s="13">
        <f>1-H4</f>
        <v>1.3946000000000014E-2</v>
      </c>
      <c r="J4" s="36">
        <f>LT!E2</f>
        <v>0.09</v>
      </c>
      <c r="K4" s="42">
        <f>LT!L40</f>
        <v>72.41</v>
      </c>
      <c r="L4" s="13">
        <f>H4^F4</f>
        <v>0.98609697902632665</v>
      </c>
      <c r="M4" s="14">
        <f>1-L4</f>
        <v>1.3903020973673352E-2</v>
      </c>
      <c r="N4" s="11">
        <v>100000</v>
      </c>
      <c r="O4" s="12">
        <f>N4*M4</f>
        <v>1390.3020973673351</v>
      </c>
      <c r="P4" s="15">
        <f>C4+(F4*(I4/M4)*(J4-C4))</f>
        <v>9.0019785039739841E-2</v>
      </c>
      <c r="Q4" s="11">
        <f>(C4*N5)+(P4*O4)</f>
        <v>98734.852598577971</v>
      </c>
      <c r="R4" s="11">
        <f t="shared" ref="R4:R12" si="0">R5+Q4</f>
        <v>7329607.3797634495</v>
      </c>
      <c r="S4" s="44">
        <f>R4/N4</f>
        <v>73.296073797634492</v>
      </c>
      <c r="T4" s="19">
        <f>S4-K4</f>
        <v>0.88607379763449501</v>
      </c>
    </row>
    <row r="5" spans="2:20" x14ac:dyDescent="0.2">
      <c r="B5" s="18">
        <v>1</v>
      </c>
      <c r="C5" s="10">
        <v>4</v>
      </c>
      <c r="D5" s="32">
        <f>'Defunciones generales'!D22</f>
        <v>125.086569136389</v>
      </c>
      <c r="E5" s="33">
        <f>Homicidios!D544</f>
        <v>3</v>
      </c>
      <c r="F5" s="12">
        <f t="shared" ref="F5:F22" si="1">(D5-E5)/D5</f>
        <v>0.97601660977103843</v>
      </c>
      <c r="G5" s="38">
        <f>LT!H41</f>
        <v>99997.5000312497</v>
      </c>
      <c r="H5" s="39">
        <f>1-LT!G41</f>
        <v>0.99759600000000004</v>
      </c>
      <c r="I5" s="13">
        <f t="shared" ref="I5:I22" si="2">1-H5</f>
        <v>2.4039999999999617E-3</v>
      </c>
      <c r="J5" s="36">
        <f>LT!E3</f>
        <v>1.61</v>
      </c>
      <c r="K5" s="33">
        <f>LT!L41</f>
        <v>71.010000000000005</v>
      </c>
      <c r="L5" s="13">
        <f t="shared" ref="L5:L22" si="3">H5^F5</f>
        <v>0.99765358837405527</v>
      </c>
      <c r="M5" s="13">
        <f t="shared" ref="M5:M22" si="4">1-L5</f>
        <v>2.3464116259447332E-3</v>
      </c>
      <c r="N5" s="11">
        <f>N4*L4</f>
        <v>98609.697902632659</v>
      </c>
      <c r="O5" s="12">
        <f t="shared" ref="O5:O22" si="5">N5*M5</f>
        <v>231.37894158963525</v>
      </c>
      <c r="P5" s="15">
        <f t="shared" ref="P5:P6" si="6">C5+(F5*(I5/M5)*(J5-C5))</f>
        <v>1.6100689536184212</v>
      </c>
      <c r="Q5" s="11">
        <f t="shared" ref="Q5:Q21" si="7">(C5*N6)+(P5*O5)</f>
        <v>393885.81189454667</v>
      </c>
      <c r="R5" s="11">
        <f t="shared" si="0"/>
        <v>7230872.5271648718</v>
      </c>
      <c r="S5" s="16">
        <f t="shared" ref="S5:S22" si="8">R5/N5</f>
        <v>73.328208897918387</v>
      </c>
      <c r="T5" s="19">
        <f t="shared" ref="T5:T22" si="9">S5-K5</f>
        <v>2.3182088979183817</v>
      </c>
    </row>
    <row r="6" spans="2:20" x14ac:dyDescent="0.2">
      <c r="B6" s="18">
        <v>5</v>
      </c>
      <c r="C6" s="10">
        <v>5</v>
      </c>
      <c r="D6" s="32">
        <f>'Defunciones generales'!D23</f>
        <v>82.056789353471203</v>
      </c>
      <c r="E6" s="33">
        <f>Homicidios!D545</f>
        <v>7</v>
      </c>
      <c r="F6" s="12">
        <f t="shared" si="1"/>
        <v>0.91469322581162038</v>
      </c>
      <c r="G6" s="38">
        <f>LT!H42</f>
        <v>99993.000244994299</v>
      </c>
      <c r="H6" s="39">
        <f>1-LT!G42</f>
        <v>0.99876600000000004</v>
      </c>
      <c r="I6" s="13">
        <f t="shared" si="2"/>
        <v>1.2339999999999574E-3</v>
      </c>
      <c r="J6" s="36">
        <f>LT!E4</f>
        <v>2.5</v>
      </c>
      <c r="K6" s="33">
        <f>LT!L42</f>
        <v>67.540000000000006</v>
      </c>
      <c r="L6" s="13">
        <f t="shared" si="3"/>
        <v>0.99887120912284311</v>
      </c>
      <c r="M6" s="13">
        <f t="shared" si="4"/>
        <v>1.1287908771568933E-3</v>
      </c>
      <c r="N6" s="11">
        <f t="shared" ref="N6:N22" si="10">N5*L5</f>
        <v>98378.318961043027</v>
      </c>
      <c r="O6" s="12">
        <f t="shared" si="5"/>
        <v>111.04854895325639</v>
      </c>
      <c r="P6" s="15">
        <f t="shared" si="6"/>
        <v>2.5001316375481846</v>
      </c>
      <c r="Q6" s="11">
        <f t="shared" si="7"/>
        <v>491613.98805099068</v>
      </c>
      <c r="R6" s="11">
        <f t="shared" si="0"/>
        <v>6836986.7152703255</v>
      </c>
      <c r="S6" s="16">
        <f t="shared" si="8"/>
        <v>69.496884958744957</v>
      </c>
      <c r="T6" s="19">
        <f t="shared" si="9"/>
        <v>1.9568849587449506</v>
      </c>
    </row>
    <row r="7" spans="2:20" x14ac:dyDescent="0.2">
      <c r="B7" s="18">
        <v>10</v>
      </c>
      <c r="C7" s="10">
        <v>5</v>
      </c>
      <c r="D7" s="32">
        <f>'Defunciones generales'!D24</f>
        <v>132.09141700802701</v>
      </c>
      <c r="E7" s="33">
        <f>Homicidios!D546</f>
        <v>24</v>
      </c>
      <c r="F7" s="12">
        <f t="shared" si="1"/>
        <v>0.81830764978059434</v>
      </c>
      <c r="G7" s="38">
        <f>LT!H43</f>
        <v>99988.000719971198</v>
      </c>
      <c r="H7" s="39">
        <f>1-LT!G43</f>
        <v>0.99831499999999995</v>
      </c>
      <c r="I7" s="13">
        <f t="shared" si="2"/>
        <v>1.6850000000000476E-3</v>
      </c>
      <c r="J7" s="36">
        <f>LT!E5</f>
        <v>2.5</v>
      </c>
      <c r="K7" s="33">
        <f>LT!L43</f>
        <v>61.38</v>
      </c>
      <c r="L7" s="13">
        <f t="shared" si="3"/>
        <v>0.99862094040157379</v>
      </c>
      <c r="M7" s="13">
        <f t="shared" si="4"/>
        <v>1.3790595984262133E-3</v>
      </c>
      <c r="N7" s="11">
        <f t="shared" si="10"/>
        <v>98267.270412089769</v>
      </c>
      <c r="O7" s="12">
        <f t="shared" si="5"/>
        <v>135.51642247293663</v>
      </c>
      <c r="P7" s="15">
        <f>(((-5/24)*O6)+((2.5)*O7)+((5/24)*O8))/O7</f>
        <v>2.801703241309327</v>
      </c>
      <c r="Q7" s="11">
        <f t="shared" si="7"/>
        <v>491038.44674817723</v>
      </c>
      <c r="R7" s="11">
        <f t="shared" si="0"/>
        <v>6345372.7272193348</v>
      </c>
      <c r="S7" s="16">
        <f t="shared" si="8"/>
        <v>64.572595744337136</v>
      </c>
      <c r="T7" s="19">
        <f t="shared" si="9"/>
        <v>3.1925957443371331</v>
      </c>
    </row>
    <row r="8" spans="2:20" x14ac:dyDescent="0.2">
      <c r="B8" s="18">
        <v>15</v>
      </c>
      <c r="C8" s="10">
        <v>5</v>
      </c>
      <c r="D8" s="32">
        <f>'Defunciones generales'!D25</f>
        <v>572.39614036811599</v>
      </c>
      <c r="E8" s="33">
        <f>Homicidios!D547</f>
        <v>281</v>
      </c>
      <c r="F8" s="12">
        <f t="shared" si="1"/>
        <v>0.50908124604179728</v>
      </c>
      <c r="G8" s="38">
        <f>LT!H44</f>
        <v>99968.005119453897</v>
      </c>
      <c r="H8" s="39">
        <f>1-LT!G44</f>
        <v>0.99385800000000002</v>
      </c>
      <c r="I8" s="13">
        <f t="shared" si="2"/>
        <v>6.1419999999999808E-3</v>
      </c>
      <c r="J8" s="36">
        <f>LT!E6</f>
        <v>2.5</v>
      </c>
      <c r="K8" s="33">
        <f>LT!L44</f>
        <v>59.35</v>
      </c>
      <c r="L8" s="13">
        <f t="shared" si="3"/>
        <v>0.99686849457763416</v>
      </c>
      <c r="M8" s="13">
        <f t="shared" si="4"/>
        <v>3.1315054223658434E-3</v>
      </c>
      <c r="N8" s="11">
        <f t="shared" si="10"/>
        <v>98131.753989616831</v>
      </c>
      <c r="O8" s="12">
        <f t="shared" si="5"/>
        <v>307.30011972475609</v>
      </c>
      <c r="P8" s="15">
        <f t="shared" ref="P8:P20" si="11">(((-5/24)*O7)+((2.5)*O8)+((5/24)*O9))/O8</f>
        <v>2.7473893638628168</v>
      </c>
      <c r="Q8" s="11">
        <f t="shared" si="7"/>
        <v>489966.54242990597</v>
      </c>
      <c r="R8" s="11">
        <f t="shared" si="0"/>
        <v>5854334.2804711573</v>
      </c>
      <c r="S8" s="16">
        <f t="shared" si="8"/>
        <v>59.65789912499266</v>
      </c>
      <c r="T8" s="19">
        <f t="shared" si="9"/>
        <v>0.30789912499265881</v>
      </c>
    </row>
    <row r="9" spans="2:20" x14ac:dyDescent="0.2">
      <c r="B9" s="18">
        <v>20</v>
      </c>
      <c r="C9" s="10">
        <v>5</v>
      </c>
      <c r="D9" s="32">
        <f>'Defunciones generales'!D26</f>
        <v>1019.70571159984</v>
      </c>
      <c r="E9" s="33">
        <f>Homicidios!D548</f>
        <v>568</v>
      </c>
      <c r="F9" s="12">
        <f t="shared" si="1"/>
        <v>0.44297654358643185</v>
      </c>
      <c r="G9" s="38">
        <f>LT!H45</f>
        <v>99704.437648080697</v>
      </c>
      <c r="H9" s="39">
        <f>1-LT!G45</f>
        <v>0.98848899999999995</v>
      </c>
      <c r="I9" s="13">
        <f t="shared" si="2"/>
        <v>1.1511000000000049E-2</v>
      </c>
      <c r="J9" s="36">
        <f>LT!E7</f>
        <v>2.5</v>
      </c>
      <c r="K9" s="33">
        <f>LT!L45</f>
        <v>54.71</v>
      </c>
      <c r="L9" s="13">
        <f t="shared" si="3"/>
        <v>0.99488445115594359</v>
      </c>
      <c r="M9" s="13">
        <f t="shared" si="4"/>
        <v>5.1155488440564056E-3</v>
      </c>
      <c r="N9" s="11">
        <f t="shared" si="10"/>
        <v>97824.453869892081</v>
      </c>
      <c r="O9" s="12">
        <f t="shared" si="5"/>
        <v>500.42577191457559</v>
      </c>
      <c r="P9" s="15">
        <f t="shared" si="11"/>
        <v>2.6237820141450654</v>
      </c>
      <c r="Q9" s="11">
        <f t="shared" si="7"/>
        <v>487933.14862965164</v>
      </c>
      <c r="R9" s="11">
        <f t="shared" si="0"/>
        <v>5364367.738041251</v>
      </c>
      <c r="S9" s="16">
        <f t="shared" si="8"/>
        <v>54.836674531052701</v>
      </c>
      <c r="T9" s="19">
        <f t="shared" si="9"/>
        <v>0.12667453105269999</v>
      </c>
    </row>
    <row r="10" spans="2:20" x14ac:dyDescent="0.2">
      <c r="B10" s="18">
        <v>25</v>
      </c>
      <c r="C10" s="10">
        <v>5</v>
      </c>
      <c r="D10" s="32">
        <f>'Defunciones generales'!D27</f>
        <v>1105.7652711656799</v>
      </c>
      <c r="E10" s="33">
        <f>Homicidios!D549</f>
        <v>632</v>
      </c>
      <c r="F10" s="12">
        <f t="shared" si="1"/>
        <v>0.42845012727361587</v>
      </c>
      <c r="G10" s="38">
        <f>LT!H46</f>
        <v>99174.922602640101</v>
      </c>
      <c r="H10" s="39">
        <f>1-LT!G46</f>
        <v>0.98555999999999999</v>
      </c>
      <c r="I10" s="13">
        <f t="shared" si="2"/>
        <v>1.4440000000000008E-2</v>
      </c>
      <c r="J10" s="36">
        <f>LT!E8</f>
        <v>2.5</v>
      </c>
      <c r="K10" s="33">
        <f>LT!L46</f>
        <v>49.68</v>
      </c>
      <c r="L10" s="13">
        <f t="shared" si="3"/>
        <v>0.99378745475876773</v>
      </c>
      <c r="M10" s="13">
        <f t="shared" si="4"/>
        <v>6.2125452412322701E-3</v>
      </c>
      <c r="N10" s="11">
        <f t="shared" si="10"/>
        <v>97324.028097977498</v>
      </c>
      <c r="O10" s="12">
        <f t="shared" si="5"/>
        <v>604.62992761764588</v>
      </c>
      <c r="P10" s="15">
        <f t="shared" si="11"/>
        <v>2.5698014444538226</v>
      </c>
      <c r="Q10" s="11">
        <f t="shared" si="7"/>
        <v>485150.76971315109</v>
      </c>
      <c r="R10" s="11">
        <f t="shared" si="0"/>
        <v>4876434.5894115996</v>
      </c>
      <c r="S10" s="16">
        <f t="shared" si="8"/>
        <v>50.105145509415443</v>
      </c>
      <c r="T10" s="19">
        <f t="shared" si="9"/>
        <v>0.42514550941544371</v>
      </c>
    </row>
    <row r="11" spans="2:20" x14ac:dyDescent="0.2">
      <c r="B11" s="18">
        <v>30</v>
      </c>
      <c r="C11" s="10">
        <v>5</v>
      </c>
      <c r="D11" s="32">
        <f>'Defunciones generales'!D28</f>
        <v>1028.71194457766</v>
      </c>
      <c r="E11" s="33">
        <f>Homicidios!D550</f>
        <v>548</v>
      </c>
      <c r="F11" s="12">
        <f t="shared" si="1"/>
        <v>0.46729499653570888</v>
      </c>
      <c r="G11" s="38">
        <f>LT!H47</f>
        <v>98593.978127715498</v>
      </c>
      <c r="H11" s="39">
        <f>1-LT!G47</f>
        <v>0.98451</v>
      </c>
      <c r="I11" s="13">
        <f t="shared" si="2"/>
        <v>1.5490000000000004E-2</v>
      </c>
      <c r="J11" s="36">
        <f>LT!E9</f>
        <v>2.5</v>
      </c>
      <c r="K11" s="33">
        <f>LT!L47</f>
        <v>45.09</v>
      </c>
      <c r="L11" s="13">
        <f t="shared" si="3"/>
        <v>0.99273149762828983</v>
      </c>
      <c r="M11" s="13">
        <f t="shared" si="4"/>
        <v>7.2685023717101727E-3</v>
      </c>
      <c r="N11" s="11">
        <f t="shared" si="10"/>
        <v>96719.398170359855</v>
      </c>
      <c r="O11" s="12">
        <f t="shared" si="5"/>
        <v>703.00517499164118</v>
      </c>
      <c r="P11" s="15">
        <f t="shared" si="11"/>
        <v>2.6030384536306519</v>
      </c>
      <c r="Q11" s="11">
        <f t="shared" si="7"/>
        <v>481911.91448044567</v>
      </c>
      <c r="R11" s="11">
        <f t="shared" si="0"/>
        <v>4391283.8196984483</v>
      </c>
      <c r="S11" s="16">
        <f t="shared" si="8"/>
        <v>45.402307114894555</v>
      </c>
      <c r="T11" s="19">
        <f t="shared" si="9"/>
        <v>0.31230711489455132</v>
      </c>
    </row>
    <row r="12" spans="2:20" x14ac:dyDescent="0.2">
      <c r="B12" s="18">
        <v>35</v>
      </c>
      <c r="C12" s="10">
        <v>5</v>
      </c>
      <c r="D12" s="32">
        <f>'Defunciones generales'!D29</f>
        <v>964.66762117983205</v>
      </c>
      <c r="E12" s="33">
        <f>Homicidios!D551</f>
        <v>425</v>
      </c>
      <c r="F12" s="12">
        <f t="shared" si="1"/>
        <v>0.55943374622628483</v>
      </c>
      <c r="G12" s="38">
        <f>LT!H48</f>
        <v>98089.976596892797</v>
      </c>
      <c r="H12" s="39">
        <f>1-LT!G48</f>
        <v>0.98233999999999999</v>
      </c>
      <c r="I12" s="13">
        <f t="shared" si="2"/>
        <v>1.7660000000000009E-2</v>
      </c>
      <c r="J12" s="36">
        <f>LT!E10</f>
        <v>2.5</v>
      </c>
      <c r="K12" s="33">
        <f>LT!L48</f>
        <v>40.28</v>
      </c>
      <c r="L12" s="13">
        <f t="shared" si="3"/>
        <v>0.99008163694437146</v>
      </c>
      <c r="M12" s="13">
        <f t="shared" si="4"/>
        <v>9.9183630556285429E-3</v>
      </c>
      <c r="N12" s="11">
        <f t="shared" si="10"/>
        <v>96016.392995368209</v>
      </c>
      <c r="O12" s="12">
        <f t="shared" si="5"/>
        <v>952.32544501997131</v>
      </c>
      <c r="P12" s="15">
        <f t="shared" si="11"/>
        <v>2.6706895670742425</v>
      </c>
      <c r="Q12" s="11">
        <f t="shared" si="7"/>
        <v>477863.70338221535</v>
      </c>
      <c r="R12" s="11">
        <f t="shared" si="0"/>
        <v>3909371.9052180024</v>
      </c>
      <c r="S12" s="16">
        <f t="shared" si="8"/>
        <v>40.715671389640612</v>
      </c>
      <c r="T12" s="19">
        <f t="shared" si="9"/>
        <v>0.43567138964061058</v>
      </c>
    </row>
    <row r="13" spans="2:20" x14ac:dyDescent="0.2">
      <c r="B13" s="18">
        <v>40</v>
      </c>
      <c r="C13" s="10">
        <v>5</v>
      </c>
      <c r="D13" s="32">
        <f>'Defunciones generales'!D30</f>
        <v>1056.7313360642099</v>
      </c>
      <c r="E13" s="33">
        <f>Homicidios!D552</f>
        <v>315</v>
      </c>
      <c r="F13" s="12">
        <f t="shared" si="1"/>
        <v>0.70191098792128581</v>
      </c>
      <c r="G13" s="38">
        <f>LT!H49</f>
        <v>97692.5386369021</v>
      </c>
      <c r="H13" s="39">
        <f>1-LT!G49</f>
        <v>0.97784499999999996</v>
      </c>
      <c r="I13" s="13">
        <f t="shared" si="2"/>
        <v>2.2155000000000036E-2</v>
      </c>
      <c r="J13" s="36">
        <f>LT!E11</f>
        <v>2.5</v>
      </c>
      <c r="K13" s="33">
        <f>LT!L49</f>
        <v>36.090000000000003</v>
      </c>
      <c r="L13" s="13">
        <f t="shared" si="3"/>
        <v>0.98439731331459757</v>
      </c>
      <c r="M13" s="13">
        <f t="shared" si="4"/>
        <v>1.5602686685402434E-2</v>
      </c>
      <c r="N13" s="11">
        <f t="shared" si="10"/>
        <v>95064.067550348234</v>
      </c>
      <c r="O13" s="12">
        <f t="shared" si="5"/>
        <v>1483.254861028016</v>
      </c>
      <c r="P13" s="15">
        <f t="shared" si="11"/>
        <v>2.6615480129444289</v>
      </c>
      <c r="Q13" s="11">
        <f t="shared" si="7"/>
        <v>471851.81747466035</v>
      </c>
      <c r="R13" s="11">
        <f t="shared" ref="R13:R20" si="12">R14+Q13</f>
        <v>3431508.2018357869</v>
      </c>
      <c r="S13" s="16">
        <f t="shared" si="8"/>
        <v>36.096795458687659</v>
      </c>
      <c r="T13" s="19">
        <f t="shared" si="9"/>
        <v>6.795458687655298E-3</v>
      </c>
    </row>
    <row r="14" spans="2:20" x14ac:dyDescent="0.2">
      <c r="B14" s="18">
        <v>45</v>
      </c>
      <c r="C14" s="10">
        <v>5</v>
      </c>
      <c r="D14" s="32">
        <f>'Defunciones generales'!D31</f>
        <v>1103.7638860595</v>
      </c>
      <c r="E14" s="33">
        <f>Homicidios!D553</f>
        <v>220</v>
      </c>
      <c r="F14" s="12">
        <f t="shared" si="1"/>
        <v>0.80068200927880284</v>
      </c>
      <c r="G14" s="38">
        <f>LT!H50</f>
        <v>97391.621558458704</v>
      </c>
      <c r="H14" s="39">
        <f>1-LT!G50</f>
        <v>0.97201899999999997</v>
      </c>
      <c r="I14" s="13">
        <f t="shared" si="2"/>
        <v>2.7981000000000034E-2</v>
      </c>
      <c r="J14" s="36">
        <f>LT!E12</f>
        <v>2.5</v>
      </c>
      <c r="K14" s="33">
        <f>LT!L50</f>
        <v>31.6</v>
      </c>
      <c r="L14" s="13">
        <f t="shared" si="3"/>
        <v>0.97753293237206229</v>
      </c>
      <c r="M14" s="13">
        <f t="shared" si="4"/>
        <v>2.2467067627937709E-2</v>
      </c>
      <c r="N14" s="11">
        <f t="shared" si="10"/>
        <v>93580.812689320213</v>
      </c>
      <c r="O14" s="12">
        <f t="shared" si="5"/>
        <v>2102.4864473683288</v>
      </c>
      <c r="P14" s="15">
        <f t="shared" si="11"/>
        <v>2.6511749305143901</v>
      </c>
      <c r="Q14" s="11">
        <f t="shared" si="7"/>
        <v>462965.69057076861</v>
      </c>
      <c r="R14" s="11">
        <f t="shared" si="12"/>
        <v>2959656.3843611265</v>
      </c>
      <c r="S14" s="16">
        <f t="shared" si="8"/>
        <v>31.626743766234608</v>
      </c>
      <c r="T14" s="19">
        <f t="shared" si="9"/>
        <v>2.674376623460617E-2</v>
      </c>
    </row>
    <row r="15" spans="2:20" x14ac:dyDescent="0.2">
      <c r="B15" s="18">
        <v>50</v>
      </c>
      <c r="C15" s="10">
        <v>5</v>
      </c>
      <c r="D15" s="32">
        <f>'Defunciones generales'!D32</f>
        <v>1150.7964360547801</v>
      </c>
      <c r="E15" s="33">
        <f>Homicidios!D554</f>
        <v>131</v>
      </c>
      <c r="F15" s="12">
        <f t="shared" si="1"/>
        <v>0.88616579275384189</v>
      </c>
      <c r="G15" s="38">
        <f>LT!H51</f>
        <v>97186.827816112505</v>
      </c>
      <c r="H15" s="39">
        <f>1-LT!G51</f>
        <v>0.96296199999999998</v>
      </c>
      <c r="I15" s="13">
        <f t="shared" si="2"/>
        <v>3.7038000000000015E-2</v>
      </c>
      <c r="J15" s="36">
        <f>LT!E13</f>
        <v>2.5</v>
      </c>
      <c r="K15" s="33">
        <f>LT!L51</f>
        <v>26.55</v>
      </c>
      <c r="L15" s="13">
        <f t="shared" si="3"/>
        <v>0.96710802931074802</v>
      </c>
      <c r="M15" s="13">
        <f t="shared" si="4"/>
        <v>3.2891970689251981E-2</v>
      </c>
      <c r="N15" s="11">
        <f t="shared" si="10"/>
        <v>91478.326241951887</v>
      </c>
      <c r="O15" s="12">
        <f t="shared" si="5"/>
        <v>3008.9024254521119</v>
      </c>
      <c r="P15" s="15">
        <f t="shared" si="11"/>
        <v>2.6730688470374639</v>
      </c>
      <c r="Q15" s="11">
        <f t="shared" si="7"/>
        <v>450390.12241975038</v>
      </c>
      <c r="R15" s="11">
        <f t="shared" si="12"/>
        <v>2496690.693790358</v>
      </c>
      <c r="S15" s="16">
        <f t="shared" si="8"/>
        <v>27.292701958569261</v>
      </c>
      <c r="T15" s="19">
        <f t="shared" si="9"/>
        <v>0.7427019585692598</v>
      </c>
    </row>
    <row r="16" spans="2:20" x14ac:dyDescent="0.2">
      <c r="B16" s="18">
        <v>55</v>
      </c>
      <c r="C16" s="10">
        <v>5</v>
      </c>
      <c r="D16" s="32">
        <f>'Defunciones generales'!D33</f>
        <v>1344.9307913544501</v>
      </c>
      <c r="E16" s="33">
        <f>Homicidios!D555</f>
        <v>62</v>
      </c>
      <c r="F16" s="12">
        <f t="shared" si="1"/>
        <v>0.9539009736422488</v>
      </c>
      <c r="G16" s="38">
        <f>LT!H52</f>
        <v>97059.111129659897</v>
      </c>
      <c r="H16" s="39">
        <f>1-LT!G52</f>
        <v>0.94553699999999996</v>
      </c>
      <c r="I16" s="13">
        <f t="shared" si="2"/>
        <v>5.4463000000000039E-2</v>
      </c>
      <c r="J16" s="36">
        <f>LT!E14</f>
        <v>2.5</v>
      </c>
      <c r="K16" s="33">
        <f>LT!L52</f>
        <v>22.98</v>
      </c>
      <c r="L16" s="13">
        <f t="shared" si="3"/>
        <v>0.94798119890216903</v>
      </c>
      <c r="M16" s="13">
        <f t="shared" si="4"/>
        <v>5.2018801097830969E-2</v>
      </c>
      <c r="N16" s="11">
        <f t="shared" si="10"/>
        <v>88469.423816499781</v>
      </c>
      <c r="O16" s="12">
        <f t="shared" si="5"/>
        <v>4602.0733607502125</v>
      </c>
      <c r="P16" s="15">
        <f t="shared" si="11"/>
        <v>2.6347266973792891</v>
      </c>
      <c r="Q16" s="11">
        <f t="shared" si="7"/>
        <v>431461.95782561443</v>
      </c>
      <c r="R16" s="11">
        <f t="shared" si="12"/>
        <v>2046300.5713706075</v>
      </c>
      <c r="S16" s="16">
        <f t="shared" si="8"/>
        <v>23.130031632340835</v>
      </c>
      <c r="T16" s="19">
        <f t="shared" si="9"/>
        <v>0.15003163234083416</v>
      </c>
    </row>
    <row r="17" spans="2:27" x14ac:dyDescent="0.2">
      <c r="B17" s="18">
        <v>60</v>
      </c>
      <c r="C17" s="10">
        <v>5</v>
      </c>
      <c r="D17" s="32">
        <f>'Defunciones generales'!D34</f>
        <v>1419.9827328362901</v>
      </c>
      <c r="E17" s="33">
        <f>Homicidios!D556</f>
        <v>42</v>
      </c>
      <c r="F17" s="12">
        <f t="shared" si="1"/>
        <v>0.97042217554567811</v>
      </c>
      <c r="G17" s="38">
        <f>LT!H53</f>
        <v>97003.803200573195</v>
      </c>
      <c r="H17" s="39">
        <f>1-LT!G53</f>
        <v>0.92654400000000003</v>
      </c>
      <c r="I17" s="13">
        <f t="shared" si="2"/>
        <v>7.3455999999999966E-2</v>
      </c>
      <c r="J17" s="36">
        <f>LT!E15</f>
        <v>2.5</v>
      </c>
      <c r="K17" s="33">
        <f>LT!L53</f>
        <v>18.63</v>
      </c>
      <c r="L17" s="13">
        <f t="shared" si="3"/>
        <v>0.92863720281032203</v>
      </c>
      <c r="M17" s="13">
        <f t="shared" si="4"/>
        <v>7.1362797189677973E-2</v>
      </c>
      <c r="N17" s="11">
        <f t="shared" si="10"/>
        <v>83867.350455749562</v>
      </c>
      <c r="O17" s="12">
        <f t="shared" si="5"/>
        <v>5985.0087214093028</v>
      </c>
      <c r="P17" s="15">
        <f t="shared" si="11"/>
        <v>2.609234334584059</v>
      </c>
      <c r="Q17" s="11">
        <f t="shared" si="7"/>
        <v>405027.99892038747</v>
      </c>
      <c r="R17" s="11">
        <f t="shared" si="12"/>
        <v>1614838.6135449931</v>
      </c>
      <c r="S17" s="16">
        <f t="shared" si="8"/>
        <v>19.254675446042867</v>
      </c>
      <c r="T17" s="19">
        <f t="shared" si="9"/>
        <v>0.62467544604286829</v>
      </c>
    </row>
    <row r="18" spans="2:27" x14ac:dyDescent="0.2">
      <c r="B18" s="18">
        <v>65</v>
      </c>
      <c r="C18" s="10">
        <v>5</v>
      </c>
      <c r="D18" s="32">
        <f>'Defunciones generales'!D35</f>
        <v>1542.0672243133999</v>
      </c>
      <c r="E18" s="33">
        <f>Homicidios!D557</f>
        <v>17</v>
      </c>
      <c r="F18" s="12">
        <f t="shared" si="1"/>
        <v>0.98897583728389715</v>
      </c>
      <c r="G18" s="38">
        <f>LT!H54</f>
        <v>96963.5549743296</v>
      </c>
      <c r="H18" s="39">
        <f>1-LT!G54</f>
        <v>0.89956700000000001</v>
      </c>
      <c r="I18" s="13">
        <f t="shared" si="2"/>
        <v>0.10043299999999999</v>
      </c>
      <c r="J18" s="36">
        <f>LT!E16</f>
        <v>2.5</v>
      </c>
      <c r="K18" s="33">
        <f>LT!L54</f>
        <v>15.03</v>
      </c>
      <c r="L18" s="13">
        <f t="shared" si="3"/>
        <v>0.90061724230205753</v>
      </c>
      <c r="M18" s="13">
        <f t="shared" si="4"/>
        <v>9.938275769794247E-2</v>
      </c>
      <c r="N18" s="11">
        <f t="shared" si="10"/>
        <v>77882.341734340254</v>
      </c>
      <c r="O18" s="12">
        <f t="shared" si="5"/>
        <v>7740.1618975322899</v>
      </c>
      <c r="P18" s="15">
        <f t="shared" si="11"/>
        <v>2.6090717547219424</v>
      </c>
      <c r="Q18" s="11">
        <f t="shared" si="7"/>
        <v>370905.5369678663</v>
      </c>
      <c r="R18" s="11">
        <f t="shared" si="12"/>
        <v>1209810.6146246057</v>
      </c>
      <c r="S18" s="16">
        <f t="shared" si="8"/>
        <v>15.533824326332118</v>
      </c>
      <c r="T18" s="19">
        <f t="shared" si="9"/>
        <v>0.50382432633211849</v>
      </c>
    </row>
    <row r="19" spans="2:27" x14ac:dyDescent="0.2">
      <c r="B19" s="18">
        <v>70</v>
      </c>
      <c r="C19" s="10">
        <v>5</v>
      </c>
      <c r="D19" s="32">
        <f>'Defunciones generales'!D36</f>
        <v>1719.1898062105299</v>
      </c>
      <c r="E19" s="33">
        <f>Homicidios!D558</f>
        <v>16</v>
      </c>
      <c r="F19" s="12">
        <f t="shared" si="1"/>
        <v>0.9906932905591922</v>
      </c>
      <c r="G19" s="38">
        <f>LT!H55</f>
        <v>96947.072571027893</v>
      </c>
      <c r="H19" s="39">
        <f>1-LT!G55</f>
        <v>0.85565800000000003</v>
      </c>
      <c r="I19" s="13">
        <f t="shared" si="2"/>
        <v>0.14434199999999997</v>
      </c>
      <c r="J19" s="36">
        <f>LT!E17</f>
        <v>2.5</v>
      </c>
      <c r="K19" s="33">
        <f>LT!L55</f>
        <v>10.78</v>
      </c>
      <c r="L19" s="13">
        <f t="shared" si="3"/>
        <v>0.8569002654787502</v>
      </c>
      <c r="M19" s="13">
        <f t="shared" si="4"/>
        <v>0.1430997345212498</v>
      </c>
      <c r="N19" s="11">
        <f t="shared" si="10"/>
        <v>70142.179836807962</v>
      </c>
      <c r="O19" s="12">
        <f t="shared" si="5"/>
        <v>10037.32731338898</v>
      </c>
      <c r="P19" s="15">
        <f t="shared" si="11"/>
        <v>2.5992317726974248</v>
      </c>
      <c r="Q19" s="11">
        <f t="shared" si="7"/>
        <v>326613.60268301924</v>
      </c>
      <c r="R19" s="11">
        <f t="shared" si="12"/>
        <v>838905.07765673951</v>
      </c>
      <c r="S19" s="16">
        <f t="shared" si="8"/>
        <v>11.960065678148684</v>
      </c>
      <c r="T19" s="19">
        <f t="shared" si="9"/>
        <v>1.1800656781486847</v>
      </c>
    </row>
    <row r="20" spans="2:27" x14ac:dyDescent="0.2">
      <c r="B20" s="18">
        <v>75</v>
      </c>
      <c r="C20" s="10">
        <v>5</v>
      </c>
      <c r="D20" s="32">
        <f>'Defunciones generales'!D37</f>
        <v>1722.1918838698</v>
      </c>
      <c r="E20" s="33">
        <f>Homicidios!D559</f>
        <v>8</v>
      </c>
      <c r="F20" s="12">
        <f t="shared" si="1"/>
        <v>0.99535475687992225</v>
      </c>
      <c r="G20" s="38">
        <f>LT!H56</f>
        <v>96935.439620310397</v>
      </c>
      <c r="H20" s="39">
        <f>1-LT!G56</f>
        <v>0.79081699999999999</v>
      </c>
      <c r="I20" s="13">
        <f t="shared" si="2"/>
        <v>0.20918300000000001</v>
      </c>
      <c r="J20" s="36">
        <f>LT!E18</f>
        <v>2.5</v>
      </c>
      <c r="K20" s="33">
        <f>LT!L56</f>
        <v>8.31</v>
      </c>
      <c r="L20" s="13">
        <f t="shared" si="3"/>
        <v>0.79167960775841495</v>
      </c>
      <c r="M20" s="13">
        <f t="shared" si="4"/>
        <v>0.20832039224158505</v>
      </c>
      <c r="N20" s="11">
        <f t="shared" si="10"/>
        <v>60104.85252341898</v>
      </c>
      <c r="O20" s="12">
        <f t="shared" si="5"/>
        <v>12521.066453301264</v>
      </c>
      <c r="P20" s="15">
        <f t="shared" si="11"/>
        <v>2.5807556621341825</v>
      </c>
      <c r="Q20" s="11">
        <f t="shared" si="7"/>
        <v>270232.7434959042</v>
      </c>
      <c r="R20" s="11">
        <f t="shared" si="12"/>
        <v>512291.47497372027</v>
      </c>
      <c r="S20" s="16">
        <f t="shared" si="8"/>
        <v>8.5232964305854235</v>
      </c>
      <c r="T20" s="19">
        <f t="shared" si="9"/>
        <v>0.21329643058542302</v>
      </c>
    </row>
    <row r="21" spans="2:27" x14ac:dyDescent="0.2">
      <c r="B21" s="18">
        <v>80</v>
      </c>
      <c r="C21" s="10">
        <v>5</v>
      </c>
      <c r="D21" s="32">
        <f>'Defunciones generales'!D38</f>
        <v>1773.2272040774501</v>
      </c>
      <c r="E21" s="33">
        <f>Homicidios!D560</f>
        <v>4</v>
      </c>
      <c r="F21" s="12">
        <f t="shared" si="1"/>
        <v>0.9977442259002105</v>
      </c>
      <c r="G21" s="38">
        <f>LT!H57</f>
        <v>96928.169734962998</v>
      </c>
      <c r="H21" s="39">
        <f>1-LT!G57</f>
        <v>0.68647799999999992</v>
      </c>
      <c r="I21" s="13">
        <f t="shared" si="2"/>
        <v>0.31352200000000008</v>
      </c>
      <c r="J21" s="36">
        <f>LT!E19</f>
        <v>2.5</v>
      </c>
      <c r="K21" s="33">
        <f>LT!L57</f>
        <v>5.01</v>
      </c>
      <c r="L21" s="13">
        <f t="shared" si="3"/>
        <v>0.68706077844780711</v>
      </c>
      <c r="M21" s="13">
        <f t="shared" si="4"/>
        <v>0.31293922155219289</v>
      </c>
      <c r="N21" s="11">
        <f t="shared" si="10"/>
        <v>47583.786070117712</v>
      </c>
      <c r="O21" s="12">
        <f t="shared" si="5"/>
        <v>14890.832971288717</v>
      </c>
      <c r="P21" s="15">
        <f>C21+(F21*(I21/M21)*(J21-C21))</f>
        <v>2.5009942534439253</v>
      </c>
      <c r="Q21" s="11">
        <f t="shared" si="7"/>
        <v>200706.6531843314</v>
      </c>
      <c r="R21" s="11">
        <f>R22 +Q21</f>
        <v>242058.73147781609</v>
      </c>
      <c r="S21" s="16">
        <f t="shared" si="8"/>
        <v>5.0870002467043562</v>
      </c>
      <c r="T21" s="19">
        <f t="shared" si="9"/>
        <v>7.7000246704356456E-2</v>
      </c>
    </row>
    <row r="22" spans="2:27" x14ac:dyDescent="0.2">
      <c r="B22" s="20">
        <v>85</v>
      </c>
      <c r="C22" s="21">
        <v>5</v>
      </c>
      <c r="D22" s="34">
        <f>'Defunciones generales'!D39</f>
        <v>3166.1912379802802</v>
      </c>
      <c r="E22" s="35">
        <f>Homicidios!D561</f>
        <v>1</v>
      </c>
      <c r="F22" s="23">
        <f t="shared" si="1"/>
        <v>0.99968416310802566</v>
      </c>
      <c r="G22" s="40">
        <f>LT!H58</f>
        <v>96924.292685715103</v>
      </c>
      <c r="H22" s="41">
        <f>1-LT!G58</f>
        <v>0</v>
      </c>
      <c r="I22" s="24">
        <f t="shared" si="2"/>
        <v>1</v>
      </c>
      <c r="J22" s="37" t="str">
        <f>LT!E20</f>
        <v>NA</v>
      </c>
      <c r="K22" s="35">
        <f>LT!L58</f>
        <v>1.04</v>
      </c>
      <c r="L22" s="24">
        <f t="shared" si="3"/>
        <v>0</v>
      </c>
      <c r="M22" s="24">
        <f t="shared" si="4"/>
        <v>1</v>
      </c>
      <c r="N22" s="22">
        <f t="shared" si="10"/>
        <v>32692.953098828995</v>
      </c>
      <c r="O22" s="23">
        <f t="shared" si="5"/>
        <v>32692.953098828995</v>
      </c>
      <c r="P22" s="25">
        <f>K22/F22</f>
        <v>1.0403285741434896</v>
      </c>
      <c r="Q22" s="43">
        <f>N22/LT!F58</f>
        <v>41352.078293484694</v>
      </c>
      <c r="R22" s="22">
        <f>Q22</f>
        <v>41352.078293484694</v>
      </c>
      <c r="S22" s="26">
        <f t="shared" si="8"/>
        <v>1.2648621300278271</v>
      </c>
      <c r="T22" s="27">
        <f t="shared" si="9"/>
        <v>0.22486213002782707</v>
      </c>
    </row>
    <row r="24" spans="2:27" x14ac:dyDescent="0.2">
      <c r="B24" s="31" t="s">
        <v>32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spans="2:27" ht="1" customHeight="1" x14ac:dyDescent="0.2"/>
    <row r="26" spans="2:27" ht="29" customHeight="1" x14ac:dyDescent="0.2">
      <c r="B26" s="3" t="s">
        <v>13</v>
      </c>
      <c r="C26" s="4" t="s">
        <v>14</v>
      </c>
      <c r="D26" s="4" t="s">
        <v>15</v>
      </c>
      <c r="E26" s="4" t="s">
        <v>16</v>
      </c>
      <c r="F26" s="5"/>
      <c r="G26" s="6"/>
      <c r="H26" s="6"/>
      <c r="I26" s="6" t="s">
        <v>22</v>
      </c>
      <c r="J26" s="6"/>
      <c r="K26" s="7" t="s">
        <v>25</v>
      </c>
      <c r="L26" s="6"/>
      <c r="M26" s="6" t="s">
        <v>17</v>
      </c>
      <c r="N26" s="6"/>
      <c r="O26" s="6" t="s">
        <v>18</v>
      </c>
      <c r="P26" s="6"/>
      <c r="Q26" s="6" t="s">
        <v>19</v>
      </c>
      <c r="R26" s="6" t="s">
        <v>20</v>
      </c>
      <c r="S26" s="7" t="s">
        <v>26</v>
      </c>
      <c r="T26" s="9" t="s">
        <v>21</v>
      </c>
    </row>
    <row r="27" spans="2:27" x14ac:dyDescent="0.2">
      <c r="B27" s="18">
        <v>0</v>
      </c>
      <c r="C27" s="10">
        <v>1</v>
      </c>
      <c r="D27" s="45">
        <f>'Defunciones generales'!D78</f>
        <v>486.010685663402</v>
      </c>
      <c r="E27" s="45">
        <f>Homicidios!D1198</f>
        <v>1</v>
      </c>
      <c r="F27" s="16">
        <f t="shared" ref="F27:F45" si="13">(D27-E27)/D27</f>
        <v>0.99794243207094302</v>
      </c>
      <c r="G27" s="45">
        <f>LT!H59</f>
        <v>100000</v>
      </c>
      <c r="H27" s="47">
        <f>1-LT!G59</f>
        <v>0.98879399999999995</v>
      </c>
      <c r="I27" s="17">
        <f t="shared" ref="I27:I45" si="14">1-H27</f>
        <v>1.1206000000000049E-2</v>
      </c>
      <c r="J27" s="49">
        <f>LT!E78</f>
        <v>0.08</v>
      </c>
      <c r="K27" s="51">
        <f>LT!L59</f>
        <v>78.97</v>
      </c>
      <c r="L27" s="15">
        <f>H27^F27</f>
        <v>0.98881692769777518</v>
      </c>
      <c r="M27" s="14">
        <f t="shared" ref="M27:M45" si="15">1-L27</f>
        <v>1.1183072302224817E-2</v>
      </c>
      <c r="N27" s="11">
        <v>100000</v>
      </c>
      <c r="O27" s="12">
        <f t="shared" ref="O27:O45" si="16">N27*M27</f>
        <v>1118.3072302224816</v>
      </c>
      <c r="P27" s="12">
        <f>C27+(F27*(I27/M27)*(J27-C27))</f>
        <v>8.0010646069303637E-2</v>
      </c>
      <c r="Q27" s="11">
        <f t="shared" ref="Q27:Q44" si="17">(C27*N28)+(P27*O27)</f>
        <v>98971.169253771601</v>
      </c>
      <c r="R27" s="11">
        <f t="shared" ref="R27:R44" si="18">R28+Q27</f>
        <v>7974958.3806115827</v>
      </c>
      <c r="S27" s="51">
        <f t="shared" ref="S27:S45" si="19">R27/N27</f>
        <v>79.749583806115822</v>
      </c>
      <c r="T27" s="19">
        <f>S27-K27</f>
        <v>0.77958380611582356</v>
      </c>
      <c r="Y27" s="52"/>
      <c r="Z27" s="52" t="s">
        <v>27</v>
      </c>
      <c r="AA27" s="52" t="s">
        <v>28</v>
      </c>
    </row>
    <row r="28" spans="2:27" x14ac:dyDescent="0.2">
      <c r="B28" s="18">
        <v>1</v>
      </c>
      <c r="C28" s="10">
        <v>4</v>
      </c>
      <c r="D28" s="45">
        <f>'Defunciones generales'!D79</f>
        <v>94</v>
      </c>
      <c r="E28" s="45">
        <f>Homicidios!D1199</f>
        <v>2</v>
      </c>
      <c r="F28" s="16">
        <f t="shared" si="13"/>
        <v>0.97872340425531912</v>
      </c>
      <c r="G28" s="45">
        <f>LT!H60</f>
        <v>99998.500011249896</v>
      </c>
      <c r="H28" s="47">
        <f>1-LT!G60</f>
        <v>0.99790599999999996</v>
      </c>
      <c r="I28" s="17">
        <f t="shared" si="14"/>
        <v>2.0940000000000403E-3</v>
      </c>
      <c r="J28" s="49">
        <f>LT!E79</f>
        <v>1.5</v>
      </c>
      <c r="K28" s="49">
        <f>LT!L60</f>
        <v>78.27</v>
      </c>
      <c r="L28" s="15">
        <f t="shared" ref="L27:L45" si="20">H28^F28</f>
        <v>0.99795050750421177</v>
      </c>
      <c r="M28" s="14">
        <f t="shared" si="15"/>
        <v>2.0494924957882299E-3</v>
      </c>
      <c r="N28" s="11">
        <f t="shared" ref="N28:N45" si="21">N27*L27</f>
        <v>98881.692769777525</v>
      </c>
      <c r="O28" s="12">
        <f t="shared" si="16"/>
        <v>202.65728730249631</v>
      </c>
      <c r="P28" s="12">
        <f>C28+(F28*(I28/M28)*(J28-C28))</f>
        <v>1.500055729988822</v>
      </c>
      <c r="Q28" s="11">
        <f t="shared" si="17"/>
        <v>395020.13915494218</v>
      </c>
      <c r="R28" s="11">
        <f t="shared" si="18"/>
        <v>7875987.2113578115</v>
      </c>
      <c r="S28" s="16">
        <f t="shared" si="19"/>
        <v>79.650610651409181</v>
      </c>
      <c r="T28" s="19">
        <f t="shared" ref="T28:T45" si="22">S28-K28</f>
        <v>1.3806106514091852</v>
      </c>
      <c r="Y28" s="52" t="s">
        <v>29</v>
      </c>
      <c r="Z28" s="8">
        <f>S4</f>
        <v>73.296073797634492</v>
      </c>
      <c r="AA28" s="8">
        <f>S27</f>
        <v>79.749583806115822</v>
      </c>
    </row>
    <row r="29" spans="2:27" x14ac:dyDescent="0.2">
      <c r="B29" s="18">
        <v>5</v>
      </c>
      <c r="C29" s="10">
        <v>5</v>
      </c>
      <c r="D29" s="45">
        <f>'Defunciones generales'!D80</f>
        <v>62</v>
      </c>
      <c r="E29" s="45">
        <f>Homicidios!D1200</f>
        <v>2</v>
      </c>
      <c r="F29" s="16">
        <f t="shared" si="13"/>
        <v>0.967741935483871</v>
      </c>
      <c r="G29" s="45">
        <f>LT!H61</f>
        <v>99995.500101248501</v>
      </c>
      <c r="H29" s="47">
        <f>1-LT!G61</f>
        <v>0.99893600000000005</v>
      </c>
      <c r="I29" s="17">
        <f t="shared" si="14"/>
        <v>1.0639999999999539E-3</v>
      </c>
      <c r="J29" s="49">
        <f>LT!E80</f>
        <v>2.5</v>
      </c>
      <c r="K29" s="49">
        <f>LT!L61</f>
        <v>74.63</v>
      </c>
      <c r="L29" s="15">
        <f t="shared" si="20"/>
        <v>0.99897030490357919</v>
      </c>
      <c r="M29" s="14">
        <f t="shared" si="15"/>
        <v>1.0296950964208129E-3</v>
      </c>
      <c r="N29" s="11">
        <f t="shared" si="21"/>
        <v>98679.035482475025</v>
      </c>
      <c r="O29" s="12">
        <f t="shared" si="16"/>
        <v>101.60931895583994</v>
      </c>
      <c r="P29" s="12">
        <f>C29+(F29*(I29/M29)*(J29-C29))</f>
        <v>2.5000429182048167</v>
      </c>
      <c r="Q29" s="11">
        <f t="shared" si="17"/>
        <v>493141.15847587504</v>
      </c>
      <c r="R29" s="11">
        <f t="shared" si="18"/>
        <v>7480967.0722028697</v>
      </c>
      <c r="S29" s="16">
        <f t="shared" si="19"/>
        <v>75.811108566534955</v>
      </c>
      <c r="T29" s="19">
        <f t="shared" si="22"/>
        <v>1.1811085665349594</v>
      </c>
      <c r="Y29" s="52" t="s">
        <v>30</v>
      </c>
      <c r="Z29" s="8">
        <f>K4</f>
        <v>72.41</v>
      </c>
      <c r="AA29" s="8">
        <f>K27</f>
        <v>78.97</v>
      </c>
    </row>
    <row r="30" spans="2:27" x14ac:dyDescent="0.2">
      <c r="B30" s="18">
        <v>10</v>
      </c>
      <c r="C30" s="10">
        <v>5</v>
      </c>
      <c r="D30" s="45">
        <f>'Defunciones generales'!D81</f>
        <v>62</v>
      </c>
      <c r="E30" s="45">
        <f>Homicidios!D1201</f>
        <v>5</v>
      </c>
      <c r="F30" s="16">
        <f t="shared" si="13"/>
        <v>0.91935483870967738</v>
      </c>
      <c r="G30" s="45">
        <f>LT!H62</f>
        <v>99993.500211245395</v>
      </c>
      <c r="H30" s="47">
        <f>1-LT!G62</f>
        <v>0.99878999999999996</v>
      </c>
      <c r="I30" s="17">
        <f t="shared" si="14"/>
        <v>1.2100000000000444E-3</v>
      </c>
      <c r="J30" s="49">
        <f>LT!E81</f>
        <v>2.5</v>
      </c>
      <c r="K30" s="49">
        <f>LT!L62</f>
        <v>69.94</v>
      </c>
      <c r="L30" s="15">
        <f t="shared" si="20"/>
        <v>0.99888752634619071</v>
      </c>
      <c r="M30" s="14">
        <f t="shared" si="15"/>
        <v>1.1124736538092872E-3</v>
      </c>
      <c r="N30" s="11">
        <f t="shared" si="21"/>
        <v>98577.42616351918</v>
      </c>
      <c r="O30" s="12">
        <f t="shared" si="16"/>
        <v>109.66478946724541</v>
      </c>
      <c r="P30" s="15">
        <f>(((-5/24)*O29)+((2.5)*O30)+((5/24)*O31))/O30</f>
        <v>2.6218667464270973</v>
      </c>
      <c r="Q30" s="11">
        <f t="shared" si="17"/>
        <v>492626.33333501773</v>
      </c>
      <c r="R30" s="11">
        <f t="shared" si="18"/>
        <v>6987825.9137269948</v>
      </c>
      <c r="S30" s="16">
        <f t="shared" si="19"/>
        <v>70.886674421136377</v>
      </c>
      <c r="T30" s="19">
        <f t="shared" si="22"/>
        <v>0.9466744211363789</v>
      </c>
      <c r="Y30" s="52"/>
      <c r="Z30" s="8">
        <f>Z28-Z29</f>
        <v>0.88607379763449501</v>
      </c>
      <c r="AA30" s="8">
        <f>AA28-AA29</f>
        <v>0.77958380611582356</v>
      </c>
    </row>
    <row r="31" spans="2:27" x14ac:dyDescent="0.2">
      <c r="B31" s="18">
        <v>15</v>
      </c>
      <c r="C31" s="10">
        <v>5</v>
      </c>
      <c r="D31" s="45">
        <f>'Defunciones generales'!D82</f>
        <v>139</v>
      </c>
      <c r="E31" s="45">
        <f>Homicidios!D1202</f>
        <v>38</v>
      </c>
      <c r="F31" s="16">
        <f t="shared" si="13"/>
        <v>0.72661870503597126</v>
      </c>
      <c r="G31" s="45">
        <f>LT!H63</f>
        <v>99987.500781217401</v>
      </c>
      <c r="H31" s="47">
        <f>1-LT!G63</f>
        <v>0.99768400000000002</v>
      </c>
      <c r="I31" s="17">
        <f t="shared" si="14"/>
        <v>2.3159999999999847E-3</v>
      </c>
      <c r="J31" s="49">
        <f>LT!E82</f>
        <v>2.5</v>
      </c>
      <c r="K31" s="49">
        <f>LT!L63</f>
        <v>64.89</v>
      </c>
      <c r="L31" s="15">
        <f t="shared" si="20"/>
        <v>0.99831661780592229</v>
      </c>
      <c r="M31" s="14">
        <f t="shared" si="15"/>
        <v>1.6833821940777094E-3</v>
      </c>
      <c r="N31" s="11">
        <f t="shared" si="21"/>
        <v>98467.76137405193</v>
      </c>
      <c r="O31" s="12">
        <f t="shared" si="16"/>
        <v>165.75887618777188</v>
      </c>
      <c r="P31" s="15">
        <f>(((-5/24)*O30)+((2.5)*O31)+((5/24)*O32))/O31</f>
        <v>2.6197463441968623</v>
      </c>
      <c r="Q31" s="11">
        <f t="shared" si="17"/>
        <v>491944.2586992319</v>
      </c>
      <c r="R31" s="11">
        <f t="shared" si="18"/>
        <v>6495199.580391977</v>
      </c>
      <c r="S31" s="16">
        <f t="shared" si="19"/>
        <v>65.962701799612375</v>
      </c>
      <c r="T31" s="19">
        <f t="shared" si="22"/>
        <v>1.0727017996123749</v>
      </c>
    </row>
    <row r="32" spans="2:27" x14ac:dyDescent="0.2">
      <c r="B32" s="18">
        <v>20</v>
      </c>
      <c r="C32" s="10">
        <v>5</v>
      </c>
      <c r="D32" s="45">
        <f>'Defunciones generales'!D83</f>
        <v>208</v>
      </c>
      <c r="E32" s="45">
        <f>Homicidios!D1203</f>
        <v>65</v>
      </c>
      <c r="F32" s="16">
        <f t="shared" si="13"/>
        <v>0.6875</v>
      </c>
      <c r="G32" s="45">
        <f>LT!H64</f>
        <v>99954.0105783779</v>
      </c>
      <c r="H32" s="47">
        <f>1-LT!G64</f>
        <v>0.99696899999999999</v>
      </c>
      <c r="I32" s="17">
        <f t="shared" si="14"/>
        <v>3.0310000000000059E-3</v>
      </c>
      <c r="J32" s="49">
        <f>LT!E83</f>
        <v>2.5</v>
      </c>
      <c r="K32" s="49">
        <f>LT!L64</f>
        <v>61.01</v>
      </c>
      <c r="L32" s="15">
        <f t="shared" si="20"/>
        <v>0.99791519930846073</v>
      </c>
      <c r="M32" s="14">
        <f t="shared" si="15"/>
        <v>2.0848006915392681E-3</v>
      </c>
      <c r="N32" s="11">
        <f t="shared" si="21"/>
        <v>98302.00249786416</v>
      </c>
      <c r="O32" s="12">
        <f t="shared" si="16"/>
        <v>204.94008278724206</v>
      </c>
      <c r="P32" s="15">
        <f>(((-5/24)*O31)+((2.5)*O32)+((5/24)*O33))/O32</f>
        <v>2.5892881670986063</v>
      </c>
      <c r="Q32" s="11">
        <f t="shared" si="17"/>
        <v>491015.96100670978</v>
      </c>
      <c r="R32" s="11">
        <f t="shared" si="18"/>
        <v>6003255.3216927452</v>
      </c>
      <c r="S32" s="16">
        <f t="shared" si="19"/>
        <v>61.069512005344755</v>
      </c>
      <c r="T32" s="19">
        <f t="shared" si="22"/>
        <v>5.9512005344757313E-2</v>
      </c>
    </row>
    <row r="33" spans="2:20" x14ac:dyDescent="0.2">
      <c r="B33" s="18">
        <v>25</v>
      </c>
      <c r="C33" s="10">
        <v>5</v>
      </c>
      <c r="D33" s="45">
        <f>'Defunciones generales'!D84</f>
        <v>264</v>
      </c>
      <c r="E33" s="45">
        <f>Homicidios!D1204</f>
        <v>79</v>
      </c>
      <c r="F33" s="16">
        <f t="shared" si="13"/>
        <v>0.7007575757575758</v>
      </c>
      <c r="G33" s="45">
        <f>LT!H65</f>
        <v>99884.5666755774</v>
      </c>
      <c r="H33" s="47">
        <f>1-LT!G65</f>
        <v>0.996313</v>
      </c>
      <c r="I33" s="17">
        <f t="shared" si="14"/>
        <v>3.6869999999999958E-3</v>
      </c>
      <c r="J33" s="49">
        <f>LT!E84</f>
        <v>2.5</v>
      </c>
      <c r="K33" s="49">
        <f>LT!L65</f>
        <v>54.98</v>
      </c>
      <c r="L33" s="15">
        <f t="shared" si="20"/>
        <v>0.99741487923431515</v>
      </c>
      <c r="M33" s="14">
        <f t="shared" si="15"/>
        <v>2.5851207656848452E-3</v>
      </c>
      <c r="N33" s="11">
        <f t="shared" si="21"/>
        <v>98097.062415076914</v>
      </c>
      <c r="O33" s="12">
        <f t="shared" si="16"/>
        <v>253.59275310189767</v>
      </c>
      <c r="P33" s="15">
        <f>(((-5/24)*O32)+((2.5)*O33)+((5/24)*O34))/O33</f>
        <v>2.6131147982994558</v>
      </c>
      <c r="Q33" s="11">
        <f t="shared" si="17"/>
        <v>489880.01528574718</v>
      </c>
      <c r="R33" s="11">
        <f t="shared" si="18"/>
        <v>5512239.3606860358</v>
      </c>
      <c r="S33" s="16">
        <f t="shared" si="19"/>
        <v>56.191686325551359</v>
      </c>
      <c r="T33" s="19">
        <f t="shared" si="22"/>
        <v>1.2116863255513621</v>
      </c>
    </row>
    <row r="34" spans="2:20" x14ac:dyDescent="0.2">
      <c r="B34" s="18">
        <v>30</v>
      </c>
      <c r="C34" s="10">
        <v>5</v>
      </c>
      <c r="D34" s="45">
        <f>'Defunciones generales'!D85</f>
        <v>265</v>
      </c>
      <c r="E34" s="45">
        <f>Homicidios!D1205</f>
        <v>56</v>
      </c>
      <c r="F34" s="16">
        <f t="shared" si="13"/>
        <v>0.78867924528301891</v>
      </c>
      <c r="G34" s="45">
        <f>LT!H66</f>
        <v>99819.662803281899</v>
      </c>
      <c r="H34" s="47">
        <f>1-LT!G66</f>
        <v>0.99556199999999995</v>
      </c>
      <c r="I34" s="17">
        <f t="shared" si="14"/>
        <v>4.438000000000053E-3</v>
      </c>
      <c r="J34" s="49">
        <f>LT!E85</f>
        <v>2.5</v>
      </c>
      <c r="K34" s="49">
        <f>LT!L66</f>
        <v>51.05</v>
      </c>
      <c r="L34" s="15">
        <f t="shared" si="20"/>
        <v>0.99649819726411892</v>
      </c>
      <c r="M34" s="14">
        <f t="shared" si="15"/>
        <v>3.5018027358810766E-3</v>
      </c>
      <c r="N34" s="11">
        <f t="shared" si="21"/>
        <v>97843.469661975018</v>
      </c>
      <c r="O34" s="12">
        <f t="shared" si="16"/>
        <v>342.62852975040124</v>
      </c>
      <c r="P34" s="15">
        <f t="shared" ref="P34:P42" si="23">(((-5/24)*O33)+((2.5)*O34)+((5/24)*O35))/O34</f>
        <v>2.6515583924320696</v>
      </c>
      <c r="Q34" s="11">
        <f t="shared" si="17"/>
        <v>488412.70521466935</v>
      </c>
      <c r="R34" s="11">
        <f t="shared" si="18"/>
        <v>5022359.3454002887</v>
      </c>
      <c r="S34" s="16">
        <f t="shared" si="19"/>
        <v>51.330552388946323</v>
      </c>
      <c r="T34" s="19">
        <f t="shared" si="22"/>
        <v>0.28055238894632595</v>
      </c>
    </row>
    <row r="35" spans="2:20" x14ac:dyDescent="0.2">
      <c r="B35" s="18">
        <v>35</v>
      </c>
      <c r="C35" s="10">
        <v>5</v>
      </c>
      <c r="D35" s="45">
        <f>'Defunciones generales'!D86</f>
        <v>303</v>
      </c>
      <c r="E35" s="45">
        <f>Homicidios!D1206</f>
        <v>39</v>
      </c>
      <c r="F35" s="16">
        <f t="shared" si="13"/>
        <v>0.87128712871287128</v>
      </c>
      <c r="G35" s="45">
        <f>LT!H67</f>
        <v>99768.767754592802</v>
      </c>
      <c r="H35" s="47">
        <f>1-LT!G67</f>
        <v>0.99408300000000005</v>
      </c>
      <c r="I35" s="17">
        <f t="shared" si="14"/>
        <v>5.9169999999999501E-3</v>
      </c>
      <c r="J35" s="49">
        <f>LT!E86</f>
        <v>2.5</v>
      </c>
      <c r="K35" s="49">
        <f>LT!L67</f>
        <v>46.13</v>
      </c>
      <c r="L35" s="15">
        <f t="shared" si="20"/>
        <v>0.99484262651193367</v>
      </c>
      <c r="M35" s="14">
        <f t="shared" si="15"/>
        <v>5.1573734880663302E-3</v>
      </c>
      <c r="N35" s="11">
        <f t="shared" si="21"/>
        <v>97500.84113222461</v>
      </c>
      <c r="O35" s="12">
        <f t="shared" si="16"/>
        <v>502.84825311950237</v>
      </c>
      <c r="P35" s="15">
        <f t="shared" si="23"/>
        <v>2.6866856065897875</v>
      </c>
      <c r="Q35" s="11">
        <f t="shared" si="17"/>
        <v>486340.95955948049</v>
      </c>
      <c r="R35" s="11">
        <f t="shared" si="18"/>
        <v>4533946.6401856197</v>
      </c>
      <c r="S35" s="16">
        <f t="shared" si="19"/>
        <v>46.501615653109717</v>
      </c>
      <c r="T35" s="19">
        <f t="shared" si="22"/>
        <v>0.37161565310971412</v>
      </c>
    </row>
    <row r="36" spans="2:20" x14ac:dyDescent="0.2">
      <c r="B36" s="18">
        <v>40</v>
      </c>
      <c r="C36" s="10">
        <v>5</v>
      </c>
      <c r="D36" s="45">
        <f>'Defunciones generales'!D87</f>
        <v>358</v>
      </c>
      <c r="E36" s="45">
        <f>Homicidios!D1207</f>
        <v>25</v>
      </c>
      <c r="F36" s="16">
        <f t="shared" si="13"/>
        <v>0.93016759776536317</v>
      </c>
      <c r="G36" s="45">
        <f>LT!H68</f>
        <v>99725.876406758995</v>
      </c>
      <c r="H36" s="47">
        <f>1-LT!G68</f>
        <v>0.99121099999999995</v>
      </c>
      <c r="I36" s="17">
        <f t="shared" si="14"/>
        <v>8.7890000000000468E-3</v>
      </c>
      <c r="J36" s="49">
        <f>LT!E87</f>
        <v>2.5</v>
      </c>
      <c r="K36" s="49">
        <f>LT!L68</f>
        <v>36.99</v>
      </c>
      <c r="L36" s="15">
        <f t="shared" si="20"/>
        <v>0.99182224027780708</v>
      </c>
      <c r="M36" s="14">
        <f t="shared" si="15"/>
        <v>8.1777597221929232E-3</v>
      </c>
      <c r="N36" s="11">
        <f t="shared" si="21"/>
        <v>96997.992879105106</v>
      </c>
      <c r="O36" s="12">
        <f t="shared" si="16"/>
        <v>793.22627930030171</v>
      </c>
      <c r="P36" s="15">
        <f t="shared" si="23"/>
        <v>2.6966695162779257</v>
      </c>
      <c r="Q36" s="11">
        <f t="shared" si="17"/>
        <v>483162.90212592372</v>
      </c>
      <c r="R36" s="11">
        <f t="shared" si="18"/>
        <v>4047605.680626139</v>
      </c>
      <c r="S36" s="16">
        <f t="shared" si="19"/>
        <v>41.728757064807851</v>
      </c>
      <c r="T36" s="19">
        <f t="shared" si="22"/>
        <v>4.7387570648078494</v>
      </c>
    </row>
    <row r="37" spans="2:20" x14ac:dyDescent="0.2">
      <c r="B37" s="18">
        <v>45</v>
      </c>
      <c r="C37" s="10">
        <v>5</v>
      </c>
      <c r="D37" s="45">
        <f>'Defunciones generales'!D88</f>
        <v>499</v>
      </c>
      <c r="E37" s="45">
        <f>Homicidios!D1208</f>
        <v>18</v>
      </c>
      <c r="F37" s="16">
        <f t="shared" si="13"/>
        <v>0.96392785571142281</v>
      </c>
      <c r="G37" s="45">
        <f>LT!H69</f>
        <v>99700.449550337304</v>
      </c>
      <c r="H37" s="47">
        <f>1-LT!G69</f>
        <v>0.98650599999999999</v>
      </c>
      <c r="I37" s="17">
        <f t="shared" si="14"/>
        <v>1.3494000000000006E-2</v>
      </c>
      <c r="J37" s="49">
        <f>LT!E88</f>
        <v>2.5</v>
      </c>
      <c r="K37" s="49">
        <f>LT!L69</f>
        <v>36.24</v>
      </c>
      <c r="L37" s="15">
        <f t="shared" si="20"/>
        <v>0.98698957697344591</v>
      </c>
      <c r="M37" s="14">
        <f t="shared" si="15"/>
        <v>1.3010423026554085E-2</v>
      </c>
      <c r="N37" s="11">
        <f t="shared" si="21"/>
        <v>96204.766599804803</v>
      </c>
      <c r="O37" s="12">
        <f t="shared" si="16"/>
        <v>1251.6647106343619</v>
      </c>
      <c r="P37" s="15">
        <f t="shared" si="23"/>
        <v>2.6798718166060684</v>
      </c>
      <c r="Q37" s="11">
        <f t="shared" si="17"/>
        <v>478119.81042772165</v>
      </c>
      <c r="R37" s="11">
        <f t="shared" si="18"/>
        <v>3564442.7785002152</v>
      </c>
      <c r="S37" s="16">
        <f t="shared" si="19"/>
        <v>37.050583920936901</v>
      </c>
      <c r="T37" s="19">
        <f t="shared" si="22"/>
        <v>0.81058392093689946</v>
      </c>
    </row>
    <row r="38" spans="2:20" x14ac:dyDescent="0.2">
      <c r="B38" s="18">
        <v>50</v>
      </c>
      <c r="C38" s="10">
        <v>5</v>
      </c>
      <c r="D38" s="45">
        <f>'Defunciones generales'!D89</f>
        <v>706</v>
      </c>
      <c r="E38" s="45">
        <f>Homicidios!D1209</f>
        <v>15</v>
      </c>
      <c r="F38" s="16">
        <f t="shared" si="13"/>
        <v>0.97875354107648727</v>
      </c>
      <c r="G38" s="45">
        <f>LT!H70</f>
        <v>99682.0066731892</v>
      </c>
      <c r="H38" s="47">
        <f>1-LT!G70</f>
        <v>0.97984099999999996</v>
      </c>
      <c r="I38" s="17">
        <f t="shared" si="14"/>
        <v>2.0159000000000038E-2</v>
      </c>
      <c r="J38" s="49">
        <f>LT!E89</f>
        <v>2.5</v>
      </c>
      <c r="K38" s="49">
        <f>LT!L70</f>
        <v>31.93</v>
      </c>
      <c r="L38" s="15">
        <f t="shared" si="20"/>
        <v>0.98026505266938646</v>
      </c>
      <c r="M38" s="14">
        <f t="shared" si="15"/>
        <v>1.9734947330613539E-2</v>
      </c>
      <c r="N38" s="11">
        <f t="shared" si="21"/>
        <v>94953.101889170444</v>
      </c>
      <c r="O38" s="12">
        <f t="shared" si="16"/>
        <v>1873.8944646611596</v>
      </c>
      <c r="P38" s="15">
        <f t="shared" si="23"/>
        <v>2.700433301489102</v>
      </c>
      <c r="Q38" s="11">
        <f t="shared" si="17"/>
        <v>470456.36413839349</v>
      </c>
      <c r="R38" s="11">
        <f t="shared" si="18"/>
        <v>3086322.9680724936</v>
      </c>
      <c r="S38" s="16">
        <f t="shared" si="19"/>
        <v>32.50365608566279</v>
      </c>
      <c r="T38" s="19">
        <f t="shared" si="22"/>
        <v>0.57365608566279036</v>
      </c>
    </row>
    <row r="39" spans="2:20" x14ac:dyDescent="0.2">
      <c r="B39" s="18">
        <v>55</v>
      </c>
      <c r="C39" s="10">
        <v>5</v>
      </c>
      <c r="D39" s="45">
        <f>'Defunciones generales'!D90</f>
        <v>892</v>
      </c>
      <c r="E39" s="45">
        <f>Homicidios!D1210</f>
        <v>11</v>
      </c>
      <c r="F39" s="16">
        <f t="shared" si="13"/>
        <v>0.9876681614349776</v>
      </c>
      <c r="G39" s="45">
        <f>LT!H71</f>
        <v>99668.052169093004</v>
      </c>
      <c r="H39" s="47">
        <f>1-LT!G71</f>
        <v>0.966781</v>
      </c>
      <c r="I39" s="17">
        <f t="shared" si="14"/>
        <v>3.3218999999999999E-2</v>
      </c>
      <c r="J39" s="49">
        <f>LT!E90</f>
        <v>2.5</v>
      </c>
      <c r="K39" s="49">
        <f>LT!L71</f>
        <v>27.89</v>
      </c>
      <c r="L39" s="15">
        <f t="shared" si="20"/>
        <v>0.96718385453331468</v>
      </c>
      <c r="M39" s="14">
        <f t="shared" si="15"/>
        <v>3.281614546668532E-2</v>
      </c>
      <c r="N39" s="11">
        <f t="shared" si="21"/>
        <v>93079.207424509281</v>
      </c>
      <c r="O39" s="12">
        <f t="shared" si="16"/>
        <v>3054.500810766473</v>
      </c>
      <c r="P39" s="15">
        <f t="shared" si="23"/>
        <v>2.666392981207895</v>
      </c>
      <c r="Q39" s="11">
        <f t="shared" si="17"/>
        <v>458268.03259163559</v>
      </c>
      <c r="R39" s="11">
        <f t="shared" si="18"/>
        <v>2615866.6039340999</v>
      </c>
      <c r="S39" s="16">
        <f t="shared" si="19"/>
        <v>28.103662206789476</v>
      </c>
      <c r="T39" s="19">
        <f t="shared" si="22"/>
        <v>0.21366220678947556</v>
      </c>
    </row>
    <row r="40" spans="2:20" x14ac:dyDescent="0.2">
      <c r="B40" s="18">
        <v>60</v>
      </c>
      <c r="C40" s="10">
        <v>5</v>
      </c>
      <c r="D40" s="45">
        <f>'Defunciones generales'!D91</f>
        <v>1112</v>
      </c>
      <c r="E40" s="45">
        <f>Homicidios!D1211</f>
        <v>6</v>
      </c>
      <c r="F40" s="16">
        <f t="shared" si="13"/>
        <v>0.99460431654676262</v>
      </c>
      <c r="G40" s="45">
        <f>LT!H72</f>
        <v>99660.079043848804</v>
      </c>
      <c r="H40" s="47">
        <f>1-LT!G72</f>
        <v>0.95183200000000001</v>
      </c>
      <c r="I40" s="17">
        <f t="shared" si="14"/>
        <v>4.8167999999999989E-2</v>
      </c>
      <c r="J40" s="49">
        <f>LT!E91</f>
        <v>2.5</v>
      </c>
      <c r="K40" s="49">
        <f>LT!L72</f>
        <v>23.31</v>
      </c>
      <c r="L40" s="15">
        <f t="shared" si="20"/>
        <v>0.95208557064235477</v>
      </c>
      <c r="M40" s="14">
        <f t="shared" si="15"/>
        <v>4.7914429357645227E-2</v>
      </c>
      <c r="N40" s="11">
        <f t="shared" si="21"/>
        <v>90024.706613742805</v>
      </c>
      <c r="O40" s="12">
        <f t="shared" si="16"/>
        <v>4313.4824454869167</v>
      </c>
      <c r="P40" s="15">
        <f t="shared" si="23"/>
        <v>2.6454421817693223</v>
      </c>
      <c r="Q40" s="11">
        <f t="shared" si="17"/>
        <v>439967.18925289199</v>
      </c>
      <c r="R40" s="11">
        <f t="shared" si="18"/>
        <v>2157598.5713424645</v>
      </c>
      <c r="S40" s="16">
        <f t="shared" si="19"/>
        <v>23.966738160000784</v>
      </c>
      <c r="T40" s="19">
        <f t="shared" si="22"/>
        <v>0.65673816000078489</v>
      </c>
    </row>
    <row r="41" spans="2:20" x14ac:dyDescent="0.2">
      <c r="B41" s="18">
        <v>65</v>
      </c>
      <c r="C41" s="10">
        <v>5</v>
      </c>
      <c r="D41" s="45">
        <f>'Defunciones generales'!D92</f>
        <v>1310</v>
      </c>
      <c r="E41" s="45">
        <f>Homicidios!D1212</f>
        <v>7</v>
      </c>
      <c r="F41" s="16">
        <f t="shared" si="13"/>
        <v>0.9946564885496183</v>
      </c>
      <c r="G41" s="45">
        <f>LT!H73</f>
        <v>99654.597890234494</v>
      </c>
      <c r="H41" s="47">
        <f>1-LT!G73</f>
        <v>0.92886299999999999</v>
      </c>
      <c r="I41" s="17">
        <f t="shared" si="14"/>
        <v>7.1137000000000006E-2</v>
      </c>
      <c r="J41" s="49">
        <f>LT!E92</f>
        <v>2.5</v>
      </c>
      <c r="K41" s="49">
        <f>LT!L73</f>
        <v>19.88</v>
      </c>
      <c r="L41" s="15">
        <f t="shared" si="20"/>
        <v>0.92922934073656116</v>
      </c>
      <c r="M41" s="14">
        <f t="shared" si="15"/>
        <v>7.077065926343884E-2</v>
      </c>
      <c r="N41" s="11">
        <f t="shared" si="21"/>
        <v>85711.224168255882</v>
      </c>
      <c r="O41" s="12">
        <f t="shared" si="16"/>
        <v>6065.8398406638607</v>
      </c>
      <c r="P41" s="15">
        <f t="shared" si="23"/>
        <v>2.6414091628004348</v>
      </c>
      <c r="Q41" s="11">
        <f t="shared" si="17"/>
        <v>414249.28657316958</v>
      </c>
      <c r="R41" s="11">
        <f t="shared" si="18"/>
        <v>1717631.3820895725</v>
      </c>
      <c r="S41" s="16">
        <f t="shared" si="19"/>
        <v>20.039748571526257</v>
      </c>
      <c r="T41" s="19">
        <f t="shared" si="22"/>
        <v>0.15974857152625788</v>
      </c>
    </row>
    <row r="42" spans="2:20" x14ac:dyDescent="0.2">
      <c r="B42" s="18">
        <v>70</v>
      </c>
      <c r="C42" s="10">
        <v>5</v>
      </c>
      <c r="D42" s="45">
        <f>'Defunciones generales'!D93</f>
        <v>1465</v>
      </c>
      <c r="E42" s="45">
        <f>Homicidios!D1213</f>
        <v>1</v>
      </c>
      <c r="F42" s="16">
        <f t="shared" si="13"/>
        <v>0.99931740614334474</v>
      </c>
      <c r="G42" s="45">
        <f>LT!H74</f>
        <v>99648.120551887405</v>
      </c>
      <c r="H42" s="47">
        <f>1-LT!G74</f>
        <v>0.89407800000000004</v>
      </c>
      <c r="I42" s="17">
        <f t="shared" si="14"/>
        <v>0.10592199999999996</v>
      </c>
      <c r="J42" s="49">
        <f>LT!E93</f>
        <v>2.5</v>
      </c>
      <c r="K42" s="49">
        <f>LT!L74</f>
        <v>16.149999999999999</v>
      </c>
      <c r="L42" s="15">
        <f t="shared" si="20"/>
        <v>0.8941463322990677</v>
      </c>
      <c r="M42" s="14">
        <f t="shared" si="15"/>
        <v>0.1058536677009323</v>
      </c>
      <c r="N42" s="11">
        <f t="shared" si="21"/>
        <v>79645.384327592023</v>
      </c>
      <c r="O42" s="12">
        <f t="shared" si="16"/>
        <v>8430.7560465259667</v>
      </c>
      <c r="P42" s="15">
        <f t="shared" si="23"/>
        <v>2.6467013492312792</v>
      </c>
      <c r="Q42" s="11">
        <f t="shared" si="17"/>
        <v>378386.83480871032</v>
      </c>
      <c r="R42" s="11">
        <f t="shared" si="18"/>
        <v>1303382.095516403</v>
      </c>
      <c r="S42" s="16">
        <f t="shared" si="19"/>
        <v>16.364816448815411</v>
      </c>
      <c r="T42" s="19">
        <f t="shared" si="22"/>
        <v>0.21481644881541229</v>
      </c>
    </row>
    <row r="43" spans="2:20" x14ac:dyDescent="0.2">
      <c r="B43" s="18">
        <v>75</v>
      </c>
      <c r="C43" s="10">
        <v>5</v>
      </c>
      <c r="D43" s="45">
        <f>'Defunciones generales'!D94</f>
        <v>1550</v>
      </c>
      <c r="E43" s="45">
        <f>Homicidios!D1214</f>
        <v>2</v>
      </c>
      <c r="F43" s="16">
        <f t="shared" si="13"/>
        <v>0.99870967741935479</v>
      </c>
      <c r="G43" s="45">
        <f>LT!H75</f>
        <v>99647.622312530206</v>
      </c>
      <c r="H43" s="47">
        <f>1-LT!G75</f>
        <v>0.83126199999999995</v>
      </c>
      <c r="I43" s="17">
        <f t="shared" si="14"/>
        <v>0.16873800000000005</v>
      </c>
      <c r="J43" s="49">
        <f>LT!E94</f>
        <v>2.5</v>
      </c>
      <c r="K43" s="49">
        <f>LT!L75</f>
        <v>12.25</v>
      </c>
      <c r="L43" s="15">
        <f t="shared" si="20"/>
        <v>0.83146025039679106</v>
      </c>
      <c r="M43" s="14">
        <f t="shared" si="15"/>
        <v>0.16853974960320894</v>
      </c>
      <c r="N43" s="11">
        <f t="shared" si="21"/>
        <v>71214.628281066049</v>
      </c>
      <c r="O43" s="12">
        <f t="shared" si="16"/>
        <v>12002.495618576473</v>
      </c>
      <c r="P43" s="15">
        <f>(((-5/24)*O42)+((2.5)*O43)+((5/24)*O44))/O43</f>
        <v>2.6239888146575026</v>
      </c>
      <c r="Q43" s="11">
        <f t="shared" si="17"/>
        <v>327555.07756356819</v>
      </c>
      <c r="R43" s="11">
        <f t="shared" si="18"/>
        <v>924995.26070769271</v>
      </c>
      <c r="S43" s="16">
        <f t="shared" si="19"/>
        <v>12.988837869896216</v>
      </c>
      <c r="T43" s="19">
        <f t="shared" si="22"/>
        <v>0.73883786989621569</v>
      </c>
    </row>
    <row r="44" spans="2:20" x14ac:dyDescent="0.2">
      <c r="B44" s="18">
        <v>80</v>
      </c>
      <c r="C44" s="10">
        <v>5</v>
      </c>
      <c r="D44" s="45">
        <f>'Defunciones generales'!D95</f>
        <v>1835</v>
      </c>
      <c r="E44" s="45">
        <f>Homicidios!D1215</f>
        <v>1</v>
      </c>
      <c r="F44" s="16">
        <f t="shared" si="13"/>
        <v>0.9994550408719346</v>
      </c>
      <c r="G44" s="45">
        <f>LT!H76</f>
        <v>99646.625841289497</v>
      </c>
      <c r="H44" s="47">
        <f>1-LT!G76</f>
        <v>0.73685699999999998</v>
      </c>
      <c r="I44" s="17">
        <f t="shared" si="14"/>
        <v>0.26314300000000002</v>
      </c>
      <c r="J44" s="49">
        <f>LT!E95</f>
        <v>2.5</v>
      </c>
      <c r="K44" s="49">
        <f>LT!L76</f>
        <v>10.01</v>
      </c>
      <c r="L44" s="15">
        <f t="shared" si="20"/>
        <v>0.73697963020926704</v>
      </c>
      <c r="M44" s="14">
        <f t="shared" si="15"/>
        <v>0.26302036979073296</v>
      </c>
      <c r="N44" s="11">
        <f t="shared" si="21"/>
        <v>59212.132662489574</v>
      </c>
      <c r="O44" s="12">
        <f t="shared" si="16"/>
        <v>15573.997028985945</v>
      </c>
      <c r="P44" s="12">
        <f>C44+(F44*(I44/M44)*(J44-C44))</f>
        <v>2.5001974368999065</v>
      </c>
      <c r="Q44" s="11">
        <f t="shared" si="17"/>
        <v>257128.7456216756</v>
      </c>
      <c r="R44" s="11">
        <f t="shared" si="18"/>
        <v>597440.18314412457</v>
      </c>
      <c r="S44" s="16">
        <f t="shared" si="19"/>
        <v>10.08982713981181</v>
      </c>
      <c r="T44" s="19">
        <f t="shared" si="22"/>
        <v>7.982713981181E-2</v>
      </c>
    </row>
    <row r="45" spans="2:20" x14ac:dyDescent="0.2">
      <c r="B45" s="20">
        <v>85</v>
      </c>
      <c r="C45" s="21">
        <v>5</v>
      </c>
      <c r="D45" s="46">
        <f>'Defunciones generales'!D96</f>
        <v>4162</v>
      </c>
      <c r="E45" s="46">
        <f>Homicidios!D1216</f>
        <v>1</v>
      </c>
      <c r="F45" s="26">
        <f t="shared" si="13"/>
        <v>0.99975973089860648</v>
      </c>
      <c r="G45" s="46">
        <f>LT!H77</f>
        <v>99645.629380013401</v>
      </c>
      <c r="H45" s="48">
        <f>1-LT!G77</f>
        <v>0</v>
      </c>
      <c r="I45" s="28">
        <f t="shared" si="14"/>
        <v>1</v>
      </c>
      <c r="J45" s="50" t="str">
        <f>LT!E96</f>
        <v>NA</v>
      </c>
      <c r="K45" s="50">
        <f>LT!L77</f>
        <v>7.58</v>
      </c>
      <c r="L45" s="25">
        <f t="shared" si="20"/>
        <v>0</v>
      </c>
      <c r="M45" s="29">
        <f t="shared" si="15"/>
        <v>1</v>
      </c>
      <c r="N45" s="22">
        <f t="shared" si="21"/>
        <v>43638.135633503633</v>
      </c>
      <c r="O45" s="23">
        <f t="shared" si="16"/>
        <v>43638.135633503633</v>
      </c>
      <c r="P45" s="25">
        <f>K45/F45</f>
        <v>7.5818216774813747</v>
      </c>
      <c r="Q45" s="50">
        <f>N45/[1]LT!E96</f>
        <v>340311.43752244895</v>
      </c>
      <c r="R45" s="22">
        <f>Q45</f>
        <v>340311.43752244895</v>
      </c>
      <c r="S45" s="26">
        <f t="shared" si="19"/>
        <v>7.7984870935038595</v>
      </c>
      <c r="T45" s="27">
        <f t="shared" si="22"/>
        <v>0.21848709350385942</v>
      </c>
    </row>
  </sheetData>
  <mergeCells count="2">
    <mergeCell ref="B2:T2"/>
    <mergeCell ref="B24:T24"/>
  </mergeCells>
  <phoneticPr fontId="22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B0EB-8AE7-0A44-806B-CB5FD10E71BC}">
  <dimension ref="A1:L115"/>
  <sheetViews>
    <sheetView zoomScaleNormal="100" workbookViewId="0">
      <selection activeCell="F89" sqref="F89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2010</v>
      </c>
      <c r="B2" t="s">
        <v>4</v>
      </c>
      <c r="C2">
        <v>0</v>
      </c>
      <c r="D2">
        <v>1.3333333333333299</v>
      </c>
      <c r="E2">
        <v>0.09</v>
      </c>
      <c r="F2" s="1">
        <v>1.3333333333333299E-5</v>
      </c>
      <c r="G2" s="1">
        <v>1.3333244444857499E-5</v>
      </c>
      <c r="H2" s="1">
        <v>100000</v>
      </c>
      <c r="I2">
        <v>1.3333244444857499</v>
      </c>
      <c r="J2">
        <v>99999.333337777804</v>
      </c>
      <c r="K2">
        <v>1895252.3890734001</v>
      </c>
      <c r="L2" s="2">
        <f>K2/H2</f>
        <v>18.952523890734</v>
      </c>
    </row>
    <row r="3" spans="1:12" x14ac:dyDescent="0.2">
      <c r="A3">
        <v>2010</v>
      </c>
      <c r="B3" t="s">
        <v>4</v>
      </c>
      <c r="C3">
        <v>1</v>
      </c>
      <c r="D3">
        <v>0.66666666666666696</v>
      </c>
      <c r="E3">
        <v>1.61</v>
      </c>
      <c r="F3" s="1">
        <v>6.66666666666667E-6</v>
      </c>
      <c r="G3" s="1">
        <v>6.6666444444862796E-6</v>
      </c>
      <c r="H3">
        <v>99998.666675555505</v>
      </c>
      <c r="I3">
        <v>0.666655555648628</v>
      </c>
      <c r="J3">
        <v>99998.333347777705</v>
      </c>
      <c r="K3">
        <v>1795253.05573562</v>
      </c>
      <c r="L3">
        <v>17.9527699260261</v>
      </c>
    </row>
    <row r="4" spans="1:12" x14ac:dyDescent="0.2">
      <c r="A4">
        <v>2010</v>
      </c>
      <c r="B4" t="s">
        <v>4</v>
      </c>
      <c r="C4">
        <v>5</v>
      </c>
      <c r="D4">
        <v>0.66666666666666696</v>
      </c>
      <c r="E4">
        <v>2.5</v>
      </c>
      <c r="F4" s="1">
        <v>6.66666666666667E-6</v>
      </c>
      <c r="G4" s="1">
        <v>6.6666444444862796E-6</v>
      </c>
      <c r="H4">
        <v>99998.000019999905</v>
      </c>
      <c r="I4">
        <v>0.66665111129307097</v>
      </c>
      <c r="J4">
        <v>99997.666694444197</v>
      </c>
      <c r="K4">
        <v>1695254.72238784</v>
      </c>
      <c r="L4">
        <v>16.952886278213398</v>
      </c>
    </row>
    <row r="5" spans="1:12" x14ac:dyDescent="0.2">
      <c r="A5">
        <v>2010</v>
      </c>
      <c r="B5" t="s">
        <v>4</v>
      </c>
      <c r="C5">
        <v>10</v>
      </c>
      <c r="D5">
        <v>4</v>
      </c>
      <c r="E5">
        <v>2.5</v>
      </c>
      <c r="F5" s="1">
        <v>4.0000000000000003E-5</v>
      </c>
      <c r="G5" s="1">
        <v>3.9999200010632E-5</v>
      </c>
      <c r="H5">
        <v>99997.333368888605</v>
      </c>
      <c r="I5">
        <v>3.99981333795201</v>
      </c>
      <c r="J5">
        <v>99995.333462219598</v>
      </c>
      <c r="K5">
        <v>1595257.0556934001</v>
      </c>
      <c r="L5">
        <v>15.9529959644876</v>
      </c>
    </row>
    <row r="6" spans="1:12" x14ac:dyDescent="0.2">
      <c r="A6">
        <v>2010</v>
      </c>
      <c r="B6" t="s">
        <v>4</v>
      </c>
      <c r="C6">
        <v>15</v>
      </c>
      <c r="D6">
        <v>49.6666666666667</v>
      </c>
      <c r="E6">
        <v>2.5</v>
      </c>
      <c r="F6">
        <v>4.9666666666666696E-4</v>
      </c>
      <c r="G6">
        <v>4.9654334819471103E-4</v>
      </c>
      <c r="H6">
        <v>99993.333555550606</v>
      </c>
      <c r="I6">
        <v>49.651024640823699</v>
      </c>
      <c r="J6">
        <v>99968.508043230206</v>
      </c>
      <c r="K6">
        <v>1495261.7222311799</v>
      </c>
      <c r="L6">
        <v>14.9536140966887</v>
      </c>
    </row>
    <row r="7" spans="1:12" x14ac:dyDescent="0.2">
      <c r="A7">
        <v>2010</v>
      </c>
      <c r="B7" t="s">
        <v>4</v>
      </c>
      <c r="C7">
        <v>20</v>
      </c>
      <c r="D7">
        <v>67</v>
      </c>
      <c r="E7">
        <v>2.5</v>
      </c>
      <c r="F7">
        <v>6.7000000000000002E-4</v>
      </c>
      <c r="G7">
        <v>6.6977560011871596E-4</v>
      </c>
      <c r="H7">
        <v>99943.682530909806</v>
      </c>
      <c r="I7">
        <v>66.939839945214501</v>
      </c>
      <c r="J7">
        <v>99910.212610937204</v>
      </c>
      <c r="K7">
        <v>1395293.2141879499</v>
      </c>
      <c r="L7">
        <v>13.960794508011301</v>
      </c>
    </row>
    <row r="8" spans="1:12" x14ac:dyDescent="0.2">
      <c r="A8">
        <v>2010</v>
      </c>
      <c r="B8" t="s">
        <v>4</v>
      </c>
      <c r="C8">
        <v>25</v>
      </c>
      <c r="D8">
        <v>71</v>
      </c>
      <c r="E8">
        <v>2.5</v>
      </c>
      <c r="F8">
        <v>7.1000000000000002E-4</v>
      </c>
      <c r="G8">
        <v>7.0974800964129802E-4</v>
      </c>
      <c r="H8">
        <v>99876.742690964602</v>
      </c>
      <c r="I8">
        <v>70.887319334368101</v>
      </c>
      <c r="J8">
        <v>99841.2990312974</v>
      </c>
      <c r="K8">
        <v>1295383.0015770099</v>
      </c>
      <c r="L8">
        <v>12.9698162622818</v>
      </c>
    </row>
    <row r="9" spans="1:12" x14ac:dyDescent="0.2">
      <c r="A9">
        <v>2010</v>
      </c>
      <c r="B9" t="s">
        <v>4</v>
      </c>
      <c r="C9">
        <v>30</v>
      </c>
      <c r="D9">
        <v>67.6666666666667</v>
      </c>
      <c r="E9">
        <v>2.5</v>
      </c>
      <c r="F9">
        <v>6.76666666666667E-4</v>
      </c>
      <c r="G9">
        <v>6.7643777940751303E-4</v>
      </c>
      <c r="H9">
        <v>99805.855371630198</v>
      </c>
      <c r="I9">
        <v>67.512451179452896</v>
      </c>
      <c r="J9">
        <v>99772.099146040506</v>
      </c>
      <c r="K9">
        <v>1195541.7025457099</v>
      </c>
      <c r="L9">
        <v>11.9786729755892</v>
      </c>
    </row>
    <row r="10" spans="1:12" x14ac:dyDescent="0.2">
      <c r="A10">
        <v>2010</v>
      </c>
      <c r="B10" t="s">
        <v>4</v>
      </c>
      <c r="C10">
        <v>35</v>
      </c>
      <c r="D10">
        <v>47</v>
      </c>
      <c r="E10">
        <v>2.5</v>
      </c>
      <c r="F10">
        <v>4.6999999999999999E-4</v>
      </c>
      <c r="G10">
        <v>4.6988956730176202E-4</v>
      </c>
      <c r="H10">
        <v>99738.342920450697</v>
      </c>
      <c r="I10">
        <v>46.866006798285397</v>
      </c>
      <c r="J10">
        <v>99714.909917051598</v>
      </c>
      <c r="K10">
        <v>1095769.60339967</v>
      </c>
      <c r="L10">
        <v>10.986442839476799</v>
      </c>
    </row>
    <row r="11" spans="1:12" x14ac:dyDescent="0.2">
      <c r="A11">
        <v>2010</v>
      </c>
      <c r="B11" t="s">
        <v>4</v>
      </c>
      <c r="C11">
        <v>40</v>
      </c>
      <c r="D11">
        <v>31.6666666666667</v>
      </c>
      <c r="E11">
        <v>2.5</v>
      </c>
      <c r="F11">
        <v>3.1666666666666697E-4</v>
      </c>
      <c r="G11">
        <v>3.1661653306980198E-4</v>
      </c>
      <c r="H11">
        <v>99691.476913652499</v>
      </c>
      <c r="I11">
        <v>31.563969797008902</v>
      </c>
      <c r="J11">
        <v>99675.694928753903</v>
      </c>
      <c r="K11">
        <v>996054.69348261994</v>
      </c>
      <c r="L11">
        <v>9.9913726260204907</v>
      </c>
    </row>
    <row r="12" spans="1:12" x14ac:dyDescent="0.2">
      <c r="A12">
        <v>2010</v>
      </c>
      <c r="B12" t="s">
        <v>4</v>
      </c>
      <c r="C12">
        <v>45</v>
      </c>
      <c r="D12">
        <v>23.6666666666667</v>
      </c>
      <c r="E12">
        <v>2.5</v>
      </c>
      <c r="F12">
        <v>2.3666666666666701E-4</v>
      </c>
      <c r="G12">
        <v>2.36638663320354E-4</v>
      </c>
      <c r="H12">
        <v>99659.912943855496</v>
      </c>
      <c r="I12">
        <v>23.583388585656799</v>
      </c>
      <c r="J12">
        <v>99648.121249562595</v>
      </c>
      <c r="K12">
        <v>896378.99855386605</v>
      </c>
      <c r="L12">
        <v>8.9943787032891702</v>
      </c>
    </row>
    <row r="13" spans="1:12" x14ac:dyDescent="0.2">
      <c r="A13">
        <v>2010</v>
      </c>
      <c r="B13" t="s">
        <v>4</v>
      </c>
      <c r="C13">
        <v>50</v>
      </c>
      <c r="D13">
        <v>21.3333333333333</v>
      </c>
      <c r="E13">
        <v>2.5</v>
      </c>
      <c r="F13">
        <v>2.1333333333333301E-4</v>
      </c>
      <c r="G13">
        <v>2.1331057939588701E-4</v>
      </c>
      <c r="H13">
        <v>99636.329555269796</v>
      </c>
      <c r="I13">
        <v>21.253483186314099</v>
      </c>
      <c r="J13">
        <v>99625.702813676602</v>
      </c>
      <c r="K13">
        <v>796730.87730430404</v>
      </c>
      <c r="L13">
        <v>7.9963892774908496</v>
      </c>
    </row>
    <row r="14" spans="1:12" x14ac:dyDescent="0.2">
      <c r="A14">
        <v>2010</v>
      </c>
      <c r="B14" t="s">
        <v>4</v>
      </c>
      <c r="C14">
        <v>55</v>
      </c>
      <c r="D14">
        <v>12.6666666666667</v>
      </c>
      <c r="E14">
        <v>2.5</v>
      </c>
      <c r="F14">
        <v>1.2666666666666699E-4</v>
      </c>
      <c r="G14">
        <v>1.2665864478311799E-4</v>
      </c>
      <c r="H14">
        <v>99615.076072083495</v>
      </c>
      <c r="I14">
        <v>12.617110535257201</v>
      </c>
      <c r="J14">
        <v>99608.767516815802</v>
      </c>
      <c r="K14">
        <v>697105.17449062702</v>
      </c>
      <c r="L14">
        <v>6.9979886778000102</v>
      </c>
    </row>
    <row r="15" spans="1:12" x14ac:dyDescent="0.2">
      <c r="A15">
        <v>2010</v>
      </c>
      <c r="B15" t="s">
        <v>4</v>
      </c>
      <c r="C15">
        <v>60</v>
      </c>
      <c r="D15">
        <v>9.3333333333333304</v>
      </c>
      <c r="E15">
        <v>2.5</v>
      </c>
      <c r="F15" s="1">
        <v>9.3333333333333303E-5</v>
      </c>
      <c r="G15" s="1">
        <v>9.3328977913253994E-5</v>
      </c>
      <c r="H15">
        <v>99602.458961548196</v>
      </c>
      <c r="I15">
        <v>9.2957956925281202</v>
      </c>
      <c r="J15">
        <v>99597.811063702</v>
      </c>
      <c r="K15">
        <v>597496.40697381098</v>
      </c>
      <c r="L15">
        <v>5.99881180849638</v>
      </c>
    </row>
    <row r="16" spans="1:12" x14ac:dyDescent="0.2">
      <c r="A16">
        <v>2010</v>
      </c>
      <c r="B16" t="s">
        <v>4</v>
      </c>
      <c r="C16">
        <v>65</v>
      </c>
      <c r="D16">
        <v>8.3333333333333304</v>
      </c>
      <c r="E16">
        <v>2.5</v>
      </c>
      <c r="F16" s="1">
        <v>8.3333333333333303E-5</v>
      </c>
      <c r="G16" s="1">
        <v>8.3329861207515106E-5</v>
      </c>
      <c r="H16">
        <v>99593.163165855702</v>
      </c>
      <c r="I16">
        <v>8.2990844638281605</v>
      </c>
      <c r="J16">
        <v>99589.013623623803</v>
      </c>
      <c r="K16">
        <v>497898.595910109</v>
      </c>
      <c r="L16">
        <v>4.9993250548829602</v>
      </c>
    </row>
    <row r="17" spans="1:12" x14ac:dyDescent="0.2">
      <c r="A17">
        <v>2010</v>
      </c>
      <c r="B17" t="s">
        <v>4</v>
      </c>
      <c r="C17">
        <v>70</v>
      </c>
      <c r="D17">
        <v>4.6666666666666696</v>
      </c>
      <c r="E17">
        <v>2.5</v>
      </c>
      <c r="F17" s="1">
        <v>4.6666666666666699E-5</v>
      </c>
      <c r="G17" s="1">
        <v>4.66655777947578E-5</v>
      </c>
      <c r="H17">
        <v>99584.864081391905</v>
      </c>
      <c r="I17">
        <v>4.6471852219705703</v>
      </c>
      <c r="J17">
        <v>99582.540488780898</v>
      </c>
      <c r="K17">
        <v>398309.58228648599</v>
      </c>
      <c r="L17">
        <v>3.9997000142606298</v>
      </c>
    </row>
    <row r="18" spans="1:12" x14ac:dyDescent="0.2">
      <c r="A18">
        <v>2010</v>
      </c>
      <c r="B18" t="s">
        <v>4</v>
      </c>
      <c r="C18">
        <v>75</v>
      </c>
      <c r="D18">
        <v>3.6666666666666701</v>
      </c>
      <c r="E18">
        <v>2.5</v>
      </c>
      <c r="F18" s="1">
        <v>3.66666666666667E-5</v>
      </c>
      <c r="G18" s="1">
        <v>3.66659944526226E-5</v>
      </c>
      <c r="H18">
        <v>99580.216896169906</v>
      </c>
      <c r="I18">
        <v>3.6512076803059301</v>
      </c>
      <c r="J18">
        <v>99578.391292329703</v>
      </c>
      <c r="K18">
        <v>298727.04179770499</v>
      </c>
      <c r="L18">
        <v>2.9998633374054702</v>
      </c>
    </row>
    <row r="19" spans="1:12" x14ac:dyDescent="0.2">
      <c r="A19">
        <v>2010</v>
      </c>
      <c r="B19" t="s">
        <v>4</v>
      </c>
      <c r="C19">
        <v>80</v>
      </c>
      <c r="D19">
        <v>2.3333333333333299</v>
      </c>
      <c r="E19">
        <v>2.5</v>
      </c>
      <c r="F19" s="1">
        <v>2.3333333333333299E-5</v>
      </c>
      <c r="G19" s="1">
        <v>2.3333061113239901E-5</v>
      </c>
      <c r="H19">
        <v>99576.565688489602</v>
      </c>
      <c r="I19">
        <v>2.3234260926560699</v>
      </c>
      <c r="J19">
        <v>99575.403975443303</v>
      </c>
      <c r="K19">
        <v>199148.650505375</v>
      </c>
      <c r="L19">
        <v>1.99995500074166</v>
      </c>
    </row>
    <row r="20" spans="1:12" x14ac:dyDescent="0.2">
      <c r="A20">
        <v>2010</v>
      </c>
      <c r="B20" t="s">
        <v>4</v>
      </c>
      <c r="C20">
        <v>85</v>
      </c>
      <c r="D20">
        <v>2</v>
      </c>
      <c r="E20" t="s">
        <v>24</v>
      </c>
      <c r="F20" s="1">
        <v>2.0000000000000002E-5</v>
      </c>
      <c r="G20" s="1">
        <v>1.9999800001335701E-5</v>
      </c>
      <c r="H20">
        <v>99574.242262396903</v>
      </c>
      <c r="I20">
        <v>1.9914649305324901</v>
      </c>
      <c r="J20">
        <v>99573.246529931697</v>
      </c>
      <c r="K20">
        <v>99573.246529931697</v>
      </c>
      <c r="L20">
        <v>0.99999000009999905</v>
      </c>
    </row>
    <row r="21" spans="1:12" x14ac:dyDescent="0.2">
      <c r="A21">
        <v>2010</v>
      </c>
      <c r="B21" t="s">
        <v>5</v>
      </c>
      <c r="C21">
        <v>0</v>
      </c>
      <c r="D21">
        <v>1.3333333333333299</v>
      </c>
      <c r="E21" s="58">
        <v>0.08</v>
      </c>
      <c r="F21" s="1">
        <v>1.3333333333333299E-5</v>
      </c>
      <c r="G21" s="1">
        <v>1.3333244444857499E-5</v>
      </c>
      <c r="H21" s="1">
        <v>100000</v>
      </c>
      <c r="I21">
        <v>1.3333244444857499</v>
      </c>
      <c r="J21">
        <v>99999.333337777804</v>
      </c>
      <c r="K21">
        <v>1899492.0949160999</v>
      </c>
      <c r="L21">
        <v>18.994920949160999</v>
      </c>
    </row>
    <row r="22" spans="1:12" x14ac:dyDescent="0.2">
      <c r="A22">
        <v>2010</v>
      </c>
      <c r="B22" t="s">
        <v>5</v>
      </c>
      <c r="C22">
        <v>1</v>
      </c>
      <c r="D22">
        <v>1.3333333333333299</v>
      </c>
      <c r="E22" s="58">
        <v>1.61</v>
      </c>
      <c r="F22" s="1">
        <v>1.3333333333333299E-5</v>
      </c>
      <c r="G22" s="1">
        <v>1.3333244444857499E-5</v>
      </c>
      <c r="H22">
        <v>99998.666675555505</v>
      </c>
      <c r="I22">
        <v>1.33330666694501</v>
      </c>
      <c r="J22">
        <v>99998.000022221997</v>
      </c>
      <c r="K22">
        <v>1799492.7615783201</v>
      </c>
      <c r="L22">
        <v>17.995167549750999</v>
      </c>
    </row>
    <row r="23" spans="1:12" x14ac:dyDescent="0.2">
      <c r="A23">
        <v>2010</v>
      </c>
      <c r="B23" t="s">
        <v>5</v>
      </c>
      <c r="C23">
        <v>5</v>
      </c>
      <c r="D23">
        <v>1.6666666666666701</v>
      </c>
      <c r="E23" s="58">
        <v>2.5</v>
      </c>
      <c r="F23" s="1">
        <v>1.6666666666666701E-5</v>
      </c>
      <c r="G23" s="1">
        <v>1.66665277785416E-5</v>
      </c>
      <c r="H23">
        <v>99997.333368888605</v>
      </c>
      <c r="I23">
        <v>1.6666083343726701</v>
      </c>
      <c r="J23">
        <v>99996.500064721404</v>
      </c>
      <c r="K23">
        <v>1699494.7615561001</v>
      </c>
      <c r="L23">
        <v>16.9954008202068</v>
      </c>
    </row>
    <row r="24" spans="1:12" x14ac:dyDescent="0.2">
      <c r="A24">
        <v>2010</v>
      </c>
      <c r="B24" t="s">
        <v>5</v>
      </c>
      <c r="C24">
        <v>10</v>
      </c>
      <c r="D24">
        <v>1.3333333333333299</v>
      </c>
      <c r="E24" s="58">
        <v>2.5</v>
      </c>
      <c r="F24" s="1">
        <v>1.3333333333333299E-5</v>
      </c>
      <c r="G24" s="1">
        <v>1.3333244444857499E-5</v>
      </c>
      <c r="H24">
        <v>99995.666760554202</v>
      </c>
      <c r="I24">
        <v>1.3332666683449801</v>
      </c>
      <c r="J24">
        <v>99995.000127220002</v>
      </c>
      <c r="K24">
        <v>1599498.2614913799</v>
      </c>
      <c r="L24">
        <v>15.9956757458448</v>
      </c>
    </row>
    <row r="25" spans="1:12" x14ac:dyDescent="0.2">
      <c r="A25">
        <v>2010</v>
      </c>
      <c r="B25" t="s">
        <v>5</v>
      </c>
      <c r="C25">
        <v>15</v>
      </c>
      <c r="D25">
        <v>1.6666666666666701</v>
      </c>
      <c r="E25" s="58">
        <v>2.5</v>
      </c>
      <c r="F25" s="1">
        <v>1.6666666666666701E-5</v>
      </c>
      <c r="G25" s="1">
        <v>1.66665277785416E-5</v>
      </c>
      <c r="H25">
        <v>99994.333493885904</v>
      </c>
      <c r="I25">
        <v>1.6665583368726</v>
      </c>
      <c r="J25">
        <v>99993.500214717395</v>
      </c>
      <c r="K25">
        <v>1499503.2613641601</v>
      </c>
      <c r="L25">
        <v>14.995882356232199</v>
      </c>
    </row>
    <row r="26" spans="1:12" x14ac:dyDescent="0.2">
      <c r="A26">
        <v>2010</v>
      </c>
      <c r="B26" t="s">
        <v>5</v>
      </c>
      <c r="C26">
        <v>20</v>
      </c>
      <c r="D26">
        <v>7.3333333333333304</v>
      </c>
      <c r="E26" s="58">
        <v>2.5</v>
      </c>
      <c r="F26" s="1">
        <v>7.3333333333333304E-5</v>
      </c>
      <c r="G26" s="1">
        <v>7.3330644510205504E-5</v>
      </c>
      <c r="H26">
        <v>99992.666935549001</v>
      </c>
      <c r="I26">
        <v>7.3325267126781304</v>
      </c>
      <c r="J26">
        <v>99989.000672192604</v>
      </c>
      <c r="K26">
        <v>1399509.76114944</v>
      </c>
      <c r="L26">
        <v>13.9961239562848</v>
      </c>
    </row>
    <row r="27" spans="1:12" x14ac:dyDescent="0.2">
      <c r="A27">
        <v>2010</v>
      </c>
      <c r="B27" t="s">
        <v>5</v>
      </c>
      <c r="C27">
        <v>25</v>
      </c>
      <c r="D27">
        <v>6.3333333333333304</v>
      </c>
      <c r="E27" s="58">
        <v>2.5</v>
      </c>
      <c r="F27" s="1">
        <v>6.3333333333333305E-5</v>
      </c>
      <c r="G27" s="1">
        <v>6.33313278201042E-5</v>
      </c>
      <c r="H27">
        <v>99985.334408836294</v>
      </c>
      <c r="I27">
        <v>6.3322039906487602</v>
      </c>
      <c r="J27">
        <v>99982.168306841006</v>
      </c>
      <c r="K27">
        <v>1299520.76047725</v>
      </c>
      <c r="L27">
        <v>12.997113708332099</v>
      </c>
    </row>
    <row r="28" spans="1:12" x14ac:dyDescent="0.2">
      <c r="A28">
        <v>2010</v>
      </c>
      <c r="B28" t="s">
        <v>5</v>
      </c>
      <c r="C28">
        <v>30</v>
      </c>
      <c r="D28">
        <v>4.6666666666666696</v>
      </c>
      <c r="E28" s="58">
        <v>2.5</v>
      </c>
      <c r="F28" s="1">
        <v>4.6666666666666699E-5</v>
      </c>
      <c r="G28" s="1">
        <v>4.66655777947578E-5</v>
      </c>
      <c r="H28">
        <v>99979.002204845703</v>
      </c>
      <c r="I28">
        <v>4.6655779052324799</v>
      </c>
      <c r="J28">
        <v>99976.669415893004</v>
      </c>
      <c r="K28">
        <v>1199538.5921704101</v>
      </c>
      <c r="L28">
        <v>11.9979052172644</v>
      </c>
    </row>
    <row r="29" spans="1:12" x14ac:dyDescent="0.2">
      <c r="A29">
        <v>2010</v>
      </c>
      <c r="B29" t="s">
        <v>5</v>
      </c>
      <c r="C29">
        <v>35</v>
      </c>
      <c r="D29">
        <v>5.3333333333333304</v>
      </c>
      <c r="E29" s="58">
        <v>2.5</v>
      </c>
      <c r="F29" s="1">
        <v>5.3333333333333299E-5</v>
      </c>
      <c r="G29" s="1">
        <v>5.3331911136433901E-5</v>
      </c>
      <c r="H29">
        <v>99974.336626940407</v>
      </c>
      <c r="I29">
        <v>5.33182243691191</v>
      </c>
      <c r="J29">
        <v>99971.670715721993</v>
      </c>
      <c r="K29">
        <v>1099561.9227545201</v>
      </c>
      <c r="L29">
        <v>10.998441798694699</v>
      </c>
    </row>
    <row r="30" spans="1:12" x14ac:dyDescent="0.2">
      <c r="A30">
        <v>2010</v>
      </c>
      <c r="B30" t="s">
        <v>5</v>
      </c>
      <c r="C30">
        <v>40</v>
      </c>
      <c r="D30">
        <v>2.3333333333333299</v>
      </c>
      <c r="E30" s="58">
        <v>2.5</v>
      </c>
      <c r="F30" s="1">
        <v>2.3333333333333299E-5</v>
      </c>
      <c r="G30" s="1">
        <v>2.3333061113239901E-5</v>
      </c>
      <c r="H30">
        <v>99969.004804503493</v>
      </c>
      <c r="I30">
        <v>2.33258289853325</v>
      </c>
      <c r="J30">
        <v>99967.838513054201</v>
      </c>
      <c r="K30">
        <v>999590.25203879504</v>
      </c>
      <c r="L30">
        <v>9.9990017305220196</v>
      </c>
    </row>
    <row r="31" spans="1:12" x14ac:dyDescent="0.2">
      <c r="A31">
        <v>2010</v>
      </c>
      <c r="B31" t="s">
        <v>5</v>
      </c>
      <c r="C31">
        <v>45</v>
      </c>
      <c r="D31">
        <v>1.6666666666666701</v>
      </c>
      <c r="E31" s="58">
        <v>2.5</v>
      </c>
      <c r="F31" s="1">
        <v>1.6666666666666701E-5</v>
      </c>
      <c r="G31" s="1">
        <v>1.66665277785416E-5</v>
      </c>
      <c r="H31">
        <v>99966.672221604997</v>
      </c>
      <c r="I31">
        <v>1.6660973195097399</v>
      </c>
      <c r="J31">
        <v>99965.839172945198</v>
      </c>
      <c r="K31">
        <v>899622.41352574003</v>
      </c>
      <c r="L31">
        <v>8.9992233764815897</v>
      </c>
    </row>
    <row r="32" spans="1:12" x14ac:dyDescent="0.2">
      <c r="A32">
        <v>2010</v>
      </c>
      <c r="B32" t="s">
        <v>5</v>
      </c>
      <c r="C32">
        <v>50</v>
      </c>
      <c r="D32">
        <v>2.6666666666666701</v>
      </c>
      <c r="E32" s="58">
        <v>2.5</v>
      </c>
      <c r="F32" s="1">
        <v>2.66666666666667E-5</v>
      </c>
      <c r="G32" s="1">
        <v>2.6666311114254E-5</v>
      </c>
      <c r="H32">
        <v>99965.006124285501</v>
      </c>
      <c r="I32">
        <v>2.6656979538484999</v>
      </c>
      <c r="J32">
        <v>99963.673275308494</v>
      </c>
      <c r="K32">
        <v>799656.57435279503</v>
      </c>
      <c r="L32">
        <v>7.9993650313849898</v>
      </c>
    </row>
    <row r="33" spans="1:12" x14ac:dyDescent="0.2">
      <c r="A33">
        <v>2010</v>
      </c>
      <c r="B33" t="s">
        <v>5</v>
      </c>
      <c r="C33">
        <v>55</v>
      </c>
      <c r="D33">
        <v>2</v>
      </c>
      <c r="E33" s="58">
        <v>2.5</v>
      </c>
      <c r="F33" s="1">
        <v>2.0000000000000002E-5</v>
      </c>
      <c r="G33" s="1">
        <v>1.9999800001335701E-5</v>
      </c>
      <c r="H33">
        <v>99962.340426331604</v>
      </c>
      <c r="I33">
        <v>1.9992268161920701</v>
      </c>
      <c r="J33">
        <v>99961.340812923503</v>
      </c>
      <c r="K33">
        <v>699692.90107748704</v>
      </c>
      <c r="L33">
        <v>6.9995650171189503</v>
      </c>
    </row>
    <row r="34" spans="1:12" x14ac:dyDescent="0.2">
      <c r="A34">
        <v>2010</v>
      </c>
      <c r="B34" t="s">
        <v>5</v>
      </c>
      <c r="C34">
        <v>60</v>
      </c>
      <c r="D34">
        <v>2.6666666666666701</v>
      </c>
      <c r="E34" s="58">
        <v>2.5</v>
      </c>
      <c r="F34" s="1">
        <v>2.66666666666667E-5</v>
      </c>
      <c r="G34" s="1">
        <v>2.6666311114254E-5</v>
      </c>
      <c r="H34">
        <v>99960.341199515402</v>
      </c>
      <c r="I34">
        <v>2.6655735575132602</v>
      </c>
      <c r="J34">
        <v>99959.008412736701</v>
      </c>
      <c r="K34">
        <v>599731.56026456296</v>
      </c>
      <c r="L34">
        <v>5.9996950097192201</v>
      </c>
    </row>
    <row r="35" spans="1:12" x14ac:dyDescent="0.2">
      <c r="A35">
        <v>2010</v>
      </c>
      <c r="B35" t="s">
        <v>5</v>
      </c>
      <c r="C35">
        <v>65</v>
      </c>
      <c r="D35">
        <v>0.66666666666666696</v>
      </c>
      <c r="E35" s="58">
        <v>2.5</v>
      </c>
      <c r="F35" s="1">
        <v>6.66666666666667E-6</v>
      </c>
      <c r="G35" s="1">
        <v>6.6666444444862796E-6</v>
      </c>
      <c r="H35">
        <v>99957.675625957898</v>
      </c>
      <c r="I35">
        <v>0.66638228289555401</v>
      </c>
      <c r="J35">
        <v>99957.342434816499</v>
      </c>
      <c r="K35">
        <v>499772.55185182602</v>
      </c>
      <c r="L35">
        <v>4.99984167020828</v>
      </c>
    </row>
    <row r="36" spans="1:12" x14ac:dyDescent="0.2">
      <c r="A36">
        <v>2010</v>
      </c>
      <c r="B36" t="s">
        <v>5</v>
      </c>
      <c r="C36">
        <v>70</v>
      </c>
      <c r="D36">
        <v>2</v>
      </c>
      <c r="E36" s="58">
        <v>2.5</v>
      </c>
      <c r="F36" s="1">
        <v>2.0000000000000002E-5</v>
      </c>
      <c r="G36" s="1">
        <v>1.9999800001335701E-5</v>
      </c>
      <c r="H36">
        <v>99957.009243674998</v>
      </c>
      <c r="I36">
        <v>1.9991201936051699</v>
      </c>
      <c r="J36">
        <v>99956.009683578202</v>
      </c>
      <c r="K36">
        <v>399815.20941701002</v>
      </c>
      <c r="L36">
        <v>3.9998716692527401</v>
      </c>
    </row>
    <row r="37" spans="1:12" x14ac:dyDescent="0.2">
      <c r="A37">
        <v>2010</v>
      </c>
      <c r="B37" t="s">
        <v>5</v>
      </c>
      <c r="C37">
        <v>75</v>
      </c>
      <c r="D37">
        <v>1.6666666666666701</v>
      </c>
      <c r="E37" s="58">
        <v>2.5</v>
      </c>
      <c r="F37" s="1">
        <v>1.6666666666666701E-5</v>
      </c>
      <c r="G37" s="1">
        <v>1.66665277785416E-5</v>
      </c>
      <c r="H37">
        <v>99955.010123481406</v>
      </c>
      <c r="I37">
        <v>1.6659029528274101</v>
      </c>
      <c r="J37">
        <v>99954.177172005002</v>
      </c>
      <c r="K37">
        <v>299859.19973343197</v>
      </c>
      <c r="L37">
        <v>2.9999416673861101</v>
      </c>
    </row>
    <row r="38" spans="1:12" x14ac:dyDescent="0.2">
      <c r="A38">
        <v>2010</v>
      </c>
      <c r="B38" t="s">
        <v>5</v>
      </c>
      <c r="C38">
        <v>80</v>
      </c>
      <c r="D38">
        <v>1</v>
      </c>
      <c r="E38" s="58">
        <v>2.5</v>
      </c>
      <c r="F38" s="1">
        <v>1.0000000000000001E-5</v>
      </c>
      <c r="G38" s="1">
        <v>9.9999500001724007E-6</v>
      </c>
      <c r="H38">
        <v>99953.344220528597</v>
      </c>
      <c r="I38">
        <v>0.99952844455530598</v>
      </c>
      <c r="J38">
        <v>99952.844456306295</v>
      </c>
      <c r="K38">
        <v>199905.022561427</v>
      </c>
      <c r="L38">
        <v>1.9999833334277799</v>
      </c>
    </row>
    <row r="39" spans="1:12" x14ac:dyDescent="0.2">
      <c r="A39">
        <v>2010</v>
      </c>
      <c r="B39" t="s">
        <v>5</v>
      </c>
      <c r="C39">
        <v>85</v>
      </c>
      <c r="D39">
        <v>0.33333333333333298</v>
      </c>
      <c r="E39" s="58" t="s">
        <v>24</v>
      </c>
      <c r="F39" s="1">
        <v>3.3333333333333299E-6</v>
      </c>
      <c r="G39" s="1">
        <v>3.3333277777991601E-6</v>
      </c>
      <c r="H39">
        <v>99952.344692084007</v>
      </c>
      <c r="I39">
        <v>0.33317392701828002</v>
      </c>
      <c r="J39">
        <v>99952.178105120503</v>
      </c>
      <c r="K39">
        <v>99952.178105120503</v>
      </c>
      <c r="L39">
        <v>0.99999833333611099</v>
      </c>
    </row>
    <row r="40" spans="1:12" x14ac:dyDescent="0.2">
      <c r="A40" s="53">
        <v>2019</v>
      </c>
      <c r="B40" s="53" t="s">
        <v>4</v>
      </c>
      <c r="C40" s="53">
        <v>0</v>
      </c>
      <c r="D40" s="53">
        <v>2.5</v>
      </c>
      <c r="E40" s="53">
        <v>0.08</v>
      </c>
      <c r="F40" s="54">
        <v>2.5000000000000001E-5</v>
      </c>
      <c r="G40" s="53">
        <v>1.3946E-2</v>
      </c>
      <c r="H40" s="54">
        <v>100000</v>
      </c>
      <c r="I40" s="53">
        <v>2.4999687502580401</v>
      </c>
      <c r="J40" s="53">
        <v>99998.750015624901</v>
      </c>
      <c r="K40" s="53">
        <v>1865003.1878233899</v>
      </c>
      <c r="L40" s="53">
        <v>72.41</v>
      </c>
    </row>
    <row r="41" spans="1:12" x14ac:dyDescent="0.2">
      <c r="A41" s="53">
        <v>2019</v>
      </c>
      <c r="B41" s="53" t="s">
        <v>4</v>
      </c>
      <c r="C41" s="53">
        <v>1</v>
      </c>
      <c r="D41" s="53">
        <v>4.5</v>
      </c>
      <c r="E41" s="53">
        <v>1.62</v>
      </c>
      <c r="F41" s="54">
        <v>4.5000000000000003E-5</v>
      </c>
      <c r="G41" s="53">
        <v>2.4039999999999999E-3</v>
      </c>
      <c r="H41" s="53">
        <v>99997.5000312497</v>
      </c>
      <c r="I41" s="53">
        <v>4.4997862554573196</v>
      </c>
      <c r="J41" s="53">
        <v>99995.250138122006</v>
      </c>
      <c r="K41" s="53">
        <v>1765004.43780777</v>
      </c>
      <c r="L41" s="53">
        <v>71.010000000000005</v>
      </c>
    </row>
    <row r="42" spans="1:12" x14ac:dyDescent="0.2">
      <c r="A42" s="53">
        <v>2019</v>
      </c>
      <c r="B42" s="53" t="s">
        <v>4</v>
      </c>
      <c r="C42" s="53">
        <v>5</v>
      </c>
      <c r="D42" s="53">
        <v>5</v>
      </c>
      <c r="E42" s="53">
        <v>2.5</v>
      </c>
      <c r="F42" s="54">
        <v>5.0000000000000002E-5</v>
      </c>
      <c r="G42" s="53">
        <v>1.2340000000000001E-3</v>
      </c>
      <c r="H42" s="53">
        <v>99993.000244994299</v>
      </c>
      <c r="I42" s="53">
        <v>4.9995250230866901</v>
      </c>
      <c r="J42" s="53">
        <v>99990.500482482705</v>
      </c>
      <c r="K42" s="53">
        <v>1665009.18766965</v>
      </c>
      <c r="L42" s="53">
        <v>67.540000000000006</v>
      </c>
    </row>
    <row r="43" spans="1:12" x14ac:dyDescent="0.2">
      <c r="A43" s="53">
        <v>2019</v>
      </c>
      <c r="B43" s="53" t="s">
        <v>4</v>
      </c>
      <c r="C43" s="53">
        <v>10</v>
      </c>
      <c r="D43" s="53">
        <v>20</v>
      </c>
      <c r="E43" s="53">
        <v>2.5</v>
      </c>
      <c r="F43" s="54">
        <v>2.0000000000000001E-4</v>
      </c>
      <c r="G43" s="53">
        <v>1.6850000000000001E-3</v>
      </c>
      <c r="H43" s="53">
        <v>99988.000719971198</v>
      </c>
      <c r="I43" s="53">
        <v>19.9956005172894</v>
      </c>
      <c r="J43" s="53">
        <v>99978.002919712599</v>
      </c>
      <c r="K43" s="53">
        <v>1565018.6871871599</v>
      </c>
      <c r="L43" s="53">
        <v>61.38</v>
      </c>
    </row>
    <row r="44" spans="1:12" x14ac:dyDescent="0.2">
      <c r="A44" s="53">
        <v>2019</v>
      </c>
      <c r="B44" s="53" t="s">
        <v>4</v>
      </c>
      <c r="C44" s="53">
        <v>15</v>
      </c>
      <c r="D44" s="53">
        <v>264</v>
      </c>
      <c r="E44" s="53">
        <v>2.5</v>
      </c>
      <c r="F44" s="53">
        <v>2.64E-3</v>
      </c>
      <c r="G44" s="53">
        <v>6.1419999999999999E-3</v>
      </c>
      <c r="H44" s="53">
        <v>99968.005119453897</v>
      </c>
      <c r="I44" s="53">
        <v>263.56747137317598</v>
      </c>
      <c r="J44" s="53">
        <v>99836.221383767304</v>
      </c>
      <c r="K44" s="53">
        <v>1465040.6842674499</v>
      </c>
      <c r="L44" s="53">
        <v>59.35</v>
      </c>
    </row>
    <row r="45" spans="1:12" x14ac:dyDescent="0.2">
      <c r="A45" s="53">
        <v>2019</v>
      </c>
      <c r="B45" s="53" t="s">
        <v>4</v>
      </c>
      <c r="C45" s="53">
        <v>20</v>
      </c>
      <c r="D45" s="53">
        <v>532.5</v>
      </c>
      <c r="E45" s="53">
        <v>2.5</v>
      </c>
      <c r="F45" s="53">
        <v>5.3249999999999999E-3</v>
      </c>
      <c r="G45" s="53">
        <v>1.1511E-2</v>
      </c>
      <c r="H45" s="53">
        <v>99704.437648080697</v>
      </c>
      <c r="I45" s="53">
        <v>529.51504544063403</v>
      </c>
      <c r="J45" s="53">
        <v>99439.680125360406</v>
      </c>
      <c r="K45" s="53">
        <v>1365204.4628836799</v>
      </c>
      <c r="L45" s="53">
        <v>54.71</v>
      </c>
    </row>
    <row r="46" spans="1:12" x14ac:dyDescent="0.2">
      <c r="A46" s="53">
        <v>2019</v>
      </c>
      <c r="B46" s="53" t="s">
        <v>4</v>
      </c>
      <c r="C46" s="53">
        <v>25</v>
      </c>
      <c r="D46" s="53">
        <v>587.5</v>
      </c>
      <c r="E46" s="53">
        <v>2.5</v>
      </c>
      <c r="F46" s="53">
        <v>5.875E-3</v>
      </c>
      <c r="G46" s="53">
        <v>1.444E-2</v>
      </c>
      <c r="H46" s="53">
        <v>99174.922602640101</v>
      </c>
      <c r="I46" s="53">
        <v>580.94447492457198</v>
      </c>
      <c r="J46" s="53">
        <v>98884.450365177807</v>
      </c>
      <c r="K46" s="53">
        <v>1265764.78275832</v>
      </c>
      <c r="L46" s="53">
        <v>49.68</v>
      </c>
    </row>
    <row r="47" spans="1:12" x14ac:dyDescent="0.2">
      <c r="A47" s="53">
        <v>2019</v>
      </c>
      <c r="B47" s="53" t="s">
        <v>4</v>
      </c>
      <c r="C47" s="53">
        <v>30</v>
      </c>
      <c r="D47" s="53">
        <v>512.5</v>
      </c>
      <c r="E47" s="53">
        <v>2.5</v>
      </c>
      <c r="F47" s="53">
        <v>5.1250000000000002E-3</v>
      </c>
      <c r="G47" s="53">
        <v>1.549E-2</v>
      </c>
      <c r="H47" s="53">
        <v>98593.978127715498</v>
      </c>
      <c r="I47" s="53">
        <v>504.00153082268997</v>
      </c>
      <c r="J47" s="53">
        <v>98341.977362304198</v>
      </c>
      <c r="K47" s="53">
        <v>1166880.3323931501</v>
      </c>
      <c r="L47" s="53">
        <v>45.09</v>
      </c>
    </row>
    <row r="48" spans="1:12" x14ac:dyDescent="0.2">
      <c r="A48" s="53">
        <v>2019</v>
      </c>
      <c r="B48" s="53" t="s">
        <v>4</v>
      </c>
      <c r="C48" s="53">
        <v>35</v>
      </c>
      <c r="D48" s="53">
        <v>406</v>
      </c>
      <c r="E48" s="53">
        <v>2.5</v>
      </c>
      <c r="F48" s="53">
        <v>4.0600000000000002E-3</v>
      </c>
      <c r="G48" s="53">
        <v>1.7659999999999999E-2</v>
      </c>
      <c r="H48" s="53">
        <v>98089.976596892797</v>
      </c>
      <c r="I48" s="53">
        <v>397.43795999072597</v>
      </c>
      <c r="J48" s="53">
        <v>97891.257616897507</v>
      </c>
      <c r="K48" s="53">
        <v>1068538.35503084</v>
      </c>
      <c r="L48" s="53">
        <v>40.28</v>
      </c>
    </row>
    <row r="49" spans="1:12" x14ac:dyDescent="0.2">
      <c r="A49" s="53">
        <v>2019</v>
      </c>
      <c r="B49" s="53" t="s">
        <v>4</v>
      </c>
      <c r="C49" s="53">
        <v>40</v>
      </c>
      <c r="D49" s="53">
        <v>308.5</v>
      </c>
      <c r="E49" s="53">
        <v>2.5</v>
      </c>
      <c r="F49" s="53">
        <v>3.0850000000000001E-3</v>
      </c>
      <c r="G49" s="53">
        <v>2.2155000000000001E-2</v>
      </c>
      <c r="H49" s="53">
        <v>97692.5386369021</v>
      </c>
      <c r="I49" s="53">
        <v>300.91707844341602</v>
      </c>
      <c r="J49" s="53">
        <v>97542.080097680402</v>
      </c>
      <c r="K49" s="53">
        <v>970647.09741394501</v>
      </c>
      <c r="L49" s="53">
        <v>36.090000000000003</v>
      </c>
    </row>
    <row r="50" spans="1:12" x14ac:dyDescent="0.2">
      <c r="A50" s="53">
        <v>2019</v>
      </c>
      <c r="B50" s="53" t="s">
        <v>4</v>
      </c>
      <c r="C50" s="53">
        <v>45</v>
      </c>
      <c r="D50" s="53">
        <v>210.5</v>
      </c>
      <c r="E50" s="53">
        <v>2.5</v>
      </c>
      <c r="F50" s="53">
        <v>2.1050000000000001E-3</v>
      </c>
      <c r="G50" s="53">
        <v>2.7980999999999999E-2</v>
      </c>
      <c r="H50" s="53">
        <v>97391.621558458704</v>
      </c>
      <c r="I50" s="53">
        <v>204.79374234622099</v>
      </c>
      <c r="J50" s="53">
        <v>97289.224687285605</v>
      </c>
      <c r="K50" s="53">
        <v>873105.01731626398</v>
      </c>
      <c r="L50" s="53">
        <v>31.6</v>
      </c>
    </row>
    <row r="51" spans="1:12" x14ac:dyDescent="0.2">
      <c r="A51" s="53">
        <v>2019</v>
      </c>
      <c r="B51" s="53" t="s">
        <v>4</v>
      </c>
      <c r="C51" s="53">
        <v>50</v>
      </c>
      <c r="D51" s="53">
        <v>131.5</v>
      </c>
      <c r="E51" s="53">
        <v>2.5</v>
      </c>
      <c r="F51" s="53">
        <v>1.315E-3</v>
      </c>
      <c r="G51" s="53">
        <v>3.7038000000000001E-2</v>
      </c>
      <c r="H51" s="53">
        <v>97186.827816112505</v>
      </c>
      <c r="I51" s="53">
        <v>127.71668645261001</v>
      </c>
      <c r="J51" s="53">
        <v>97122.969472886194</v>
      </c>
      <c r="K51" s="53">
        <v>775815.79262897803</v>
      </c>
      <c r="L51" s="53">
        <v>26.55</v>
      </c>
    </row>
    <row r="52" spans="1:12" x14ac:dyDescent="0.2">
      <c r="A52" s="53">
        <v>2019</v>
      </c>
      <c r="B52" s="53" t="s">
        <v>4</v>
      </c>
      <c r="C52" s="53">
        <v>55</v>
      </c>
      <c r="D52" s="53">
        <v>57</v>
      </c>
      <c r="E52" s="53">
        <v>2.5</v>
      </c>
      <c r="F52" s="53">
        <v>5.6999999999999998E-4</v>
      </c>
      <c r="G52" s="53">
        <v>5.4462999999999998E-2</v>
      </c>
      <c r="H52" s="53">
        <v>97059.111129659897</v>
      </c>
      <c r="I52" s="53">
        <v>55.3079290866593</v>
      </c>
      <c r="J52" s="53">
        <v>97031.457165116502</v>
      </c>
      <c r="K52" s="53">
        <v>678692.82315609197</v>
      </c>
      <c r="L52" s="53">
        <v>22.98</v>
      </c>
    </row>
    <row r="53" spans="1:12" x14ac:dyDescent="0.2">
      <c r="A53" s="53">
        <v>2019</v>
      </c>
      <c r="B53" s="53" t="s">
        <v>4</v>
      </c>
      <c r="C53" s="53">
        <v>60</v>
      </c>
      <c r="D53" s="53">
        <v>41.5</v>
      </c>
      <c r="E53" s="53">
        <v>2.5</v>
      </c>
      <c r="F53" s="53">
        <v>4.15E-4</v>
      </c>
      <c r="G53" s="53">
        <v>7.3455999999999994E-2</v>
      </c>
      <c r="H53" s="53">
        <v>97003.803200573195</v>
      </c>
      <c r="I53" s="53">
        <v>40.248226243642399</v>
      </c>
      <c r="J53" s="53">
        <v>96983.679087451397</v>
      </c>
      <c r="K53" s="53">
        <v>581661.36599097599</v>
      </c>
      <c r="L53" s="53">
        <v>18.63</v>
      </c>
    </row>
    <row r="54" spans="1:12" x14ac:dyDescent="0.2">
      <c r="A54" s="53">
        <v>2019</v>
      </c>
      <c r="B54" s="53" t="s">
        <v>4</v>
      </c>
      <c r="C54" s="53">
        <v>65</v>
      </c>
      <c r="D54" s="53">
        <v>17</v>
      </c>
      <c r="E54" s="53">
        <v>2.5</v>
      </c>
      <c r="F54" s="53">
        <v>1.7000000000000001E-4</v>
      </c>
      <c r="G54" s="53">
        <v>0.10043299999999999</v>
      </c>
      <c r="H54" s="53">
        <v>96963.5549743296</v>
      </c>
      <c r="I54" s="53">
        <v>16.482403301662199</v>
      </c>
      <c r="J54" s="53">
        <v>96955.313772678695</v>
      </c>
      <c r="K54" s="53">
        <v>484677.68690352398</v>
      </c>
      <c r="L54" s="53">
        <v>15.03</v>
      </c>
    </row>
    <row r="55" spans="1:12" x14ac:dyDescent="0.2">
      <c r="A55" s="53">
        <v>2019</v>
      </c>
      <c r="B55" s="53" t="s">
        <v>4</v>
      </c>
      <c r="C55" s="53">
        <v>70</v>
      </c>
      <c r="D55" s="53">
        <v>12</v>
      </c>
      <c r="E55" s="53">
        <v>2.5</v>
      </c>
      <c r="F55" s="53">
        <v>1.2E-4</v>
      </c>
      <c r="G55" s="53">
        <v>0.144342</v>
      </c>
      <c r="H55" s="53">
        <v>96947.072571027893</v>
      </c>
      <c r="I55" s="53">
        <v>11.6329507175177</v>
      </c>
      <c r="J55" s="53">
        <v>96941.256095669101</v>
      </c>
      <c r="K55" s="53">
        <v>387722.37313084601</v>
      </c>
      <c r="L55" s="53">
        <v>10.78</v>
      </c>
    </row>
    <row r="56" spans="1:12" x14ac:dyDescent="0.2">
      <c r="A56" s="53">
        <v>2019</v>
      </c>
      <c r="B56" s="53" t="s">
        <v>4</v>
      </c>
      <c r="C56" s="53">
        <v>75</v>
      </c>
      <c r="D56" s="53">
        <v>7.5</v>
      </c>
      <c r="E56" s="53">
        <v>2.5</v>
      </c>
      <c r="F56" s="54">
        <v>7.4999999999999993E-5</v>
      </c>
      <c r="G56" s="53">
        <v>0.20918300000000001</v>
      </c>
      <c r="H56" s="53">
        <v>96935.439620310397</v>
      </c>
      <c r="I56" s="53">
        <v>7.2698853474152401</v>
      </c>
      <c r="J56" s="53">
        <v>96931.804677636697</v>
      </c>
      <c r="K56" s="53">
        <v>290781.11703517701</v>
      </c>
      <c r="L56" s="53">
        <v>8.31</v>
      </c>
    </row>
    <row r="57" spans="1:12" x14ac:dyDescent="0.2">
      <c r="A57" s="53">
        <v>2019</v>
      </c>
      <c r="B57" s="53" t="s">
        <v>4</v>
      </c>
      <c r="C57" s="53">
        <v>80</v>
      </c>
      <c r="D57" s="53">
        <v>4</v>
      </c>
      <c r="E57" s="53">
        <v>2.5</v>
      </c>
      <c r="F57" s="54">
        <v>4.0000000000000003E-5</v>
      </c>
      <c r="G57" s="53">
        <v>0.31352200000000002</v>
      </c>
      <c r="H57" s="53">
        <v>96928.169734962998</v>
      </c>
      <c r="I57" s="53">
        <v>3.8770492478932699</v>
      </c>
      <c r="J57" s="53">
        <v>96926.231210339</v>
      </c>
      <c r="K57" s="53">
        <v>193849.31235754001</v>
      </c>
      <c r="L57" s="53">
        <v>5.01</v>
      </c>
    </row>
    <row r="58" spans="1:12" x14ac:dyDescent="0.2">
      <c r="A58" s="53">
        <v>2019</v>
      </c>
      <c r="B58" s="53" t="s">
        <v>4</v>
      </c>
      <c r="C58" s="53">
        <v>85</v>
      </c>
      <c r="D58" s="53">
        <v>2.5</v>
      </c>
      <c r="E58" s="53" t="s">
        <v>24</v>
      </c>
      <c r="F58" s="55">
        <v>0.79059999999999997</v>
      </c>
      <c r="G58" s="53">
        <v>1</v>
      </c>
      <c r="H58" s="53">
        <v>96924.292685715103</v>
      </c>
      <c r="I58" s="53">
        <v>2.42307702855152</v>
      </c>
      <c r="J58" s="53">
        <v>96923.081147200806</v>
      </c>
      <c r="K58" s="53">
        <v>96923.081147200806</v>
      </c>
      <c r="L58" s="53">
        <v>1.04</v>
      </c>
    </row>
    <row r="59" spans="1:12" x14ac:dyDescent="0.2">
      <c r="A59" s="56">
        <v>2019</v>
      </c>
      <c r="B59" s="56" t="s">
        <v>5</v>
      </c>
      <c r="C59" s="56">
        <v>0</v>
      </c>
      <c r="D59" s="56">
        <v>1.5</v>
      </c>
      <c r="E59" s="56">
        <v>0.09</v>
      </c>
      <c r="F59" s="57">
        <v>1.5E-5</v>
      </c>
      <c r="G59" s="56">
        <v>1.1206000000000001E-2</v>
      </c>
      <c r="H59" s="57">
        <v>100000</v>
      </c>
      <c r="I59" s="56">
        <v>1.4999887500533</v>
      </c>
      <c r="J59" s="56">
        <v>99999.250005624999</v>
      </c>
      <c r="K59" s="56">
        <v>1895903.38520032</v>
      </c>
      <c r="L59" s="56">
        <v>78.97</v>
      </c>
    </row>
    <row r="60" spans="1:12" x14ac:dyDescent="0.2">
      <c r="A60" s="56">
        <v>2019</v>
      </c>
      <c r="B60" s="56" t="s">
        <v>5</v>
      </c>
      <c r="C60" s="56">
        <v>1</v>
      </c>
      <c r="D60" s="56">
        <v>3</v>
      </c>
      <c r="E60" s="56">
        <v>1.5</v>
      </c>
      <c r="F60" s="57">
        <v>3.0000000000000001E-5</v>
      </c>
      <c r="G60" s="56">
        <v>2.0939999999999999E-3</v>
      </c>
      <c r="H60" s="56">
        <v>99998.500011249896</v>
      </c>
      <c r="I60" s="56">
        <v>2.9999100014614002</v>
      </c>
      <c r="J60" s="56">
        <v>99997.000056249206</v>
      </c>
      <c r="K60" s="56">
        <v>1795904.1351947</v>
      </c>
      <c r="L60" s="56">
        <v>78.27</v>
      </c>
    </row>
    <row r="61" spans="1:12" x14ac:dyDescent="0.2">
      <c r="A61" s="56">
        <v>2019</v>
      </c>
      <c r="B61" s="56" t="s">
        <v>5</v>
      </c>
      <c r="C61" s="56">
        <v>5</v>
      </c>
      <c r="D61" s="56">
        <v>2</v>
      </c>
      <c r="E61" s="56">
        <v>2.5</v>
      </c>
      <c r="F61" s="57">
        <v>2.0000000000000002E-5</v>
      </c>
      <c r="G61" s="56">
        <v>1.0640000000000001E-3</v>
      </c>
      <c r="H61" s="56">
        <v>99995.500101248501</v>
      </c>
      <c r="I61" s="56">
        <v>1.99989000305852</v>
      </c>
      <c r="J61" s="56">
        <v>99994.500156246897</v>
      </c>
      <c r="K61" s="56">
        <v>1695907.13513845</v>
      </c>
      <c r="L61" s="56">
        <v>74.63</v>
      </c>
    </row>
    <row r="62" spans="1:12" x14ac:dyDescent="0.2">
      <c r="A62" s="56">
        <v>2019</v>
      </c>
      <c r="B62" s="56" t="s">
        <v>5</v>
      </c>
      <c r="C62" s="56">
        <v>10</v>
      </c>
      <c r="D62" s="56">
        <v>6</v>
      </c>
      <c r="E62" s="56">
        <v>2.5</v>
      </c>
      <c r="F62" s="57">
        <v>6.0000000000000002E-5</v>
      </c>
      <c r="G62" s="56">
        <v>1.2099999999999999E-3</v>
      </c>
      <c r="H62" s="56">
        <v>99993.500211245395</v>
      </c>
      <c r="I62" s="56">
        <v>5.9994300279734398</v>
      </c>
      <c r="J62" s="56">
        <v>99990.500496231398</v>
      </c>
      <c r="K62" s="56">
        <v>1595912.6349822001</v>
      </c>
      <c r="L62" s="56">
        <v>69.94</v>
      </c>
    </row>
    <row r="63" spans="1:12" x14ac:dyDescent="0.2">
      <c r="A63" s="56">
        <v>2019</v>
      </c>
      <c r="B63" s="56" t="s">
        <v>5</v>
      </c>
      <c r="C63" s="56">
        <v>15</v>
      </c>
      <c r="D63" s="56">
        <v>33.5</v>
      </c>
      <c r="E63" s="56">
        <v>2.5</v>
      </c>
      <c r="F63" s="56">
        <v>3.3500000000000001E-4</v>
      </c>
      <c r="G63" s="56">
        <v>2.3159999999999999E-3</v>
      </c>
      <c r="H63" s="56">
        <v>99987.500781217401</v>
      </c>
      <c r="I63" s="56">
        <v>33.490202839523498</v>
      </c>
      <c r="J63" s="56">
        <v>99970.755679797701</v>
      </c>
      <c r="K63" s="56">
        <v>1495922.13448597</v>
      </c>
      <c r="L63" s="56">
        <v>64.89</v>
      </c>
    </row>
    <row r="64" spans="1:12" x14ac:dyDescent="0.2">
      <c r="A64" s="56">
        <v>2019</v>
      </c>
      <c r="B64" s="56" t="s">
        <v>5</v>
      </c>
      <c r="C64" s="56">
        <v>20</v>
      </c>
      <c r="D64" s="56">
        <v>69.5</v>
      </c>
      <c r="E64" s="56">
        <v>2.5</v>
      </c>
      <c r="F64" s="56">
        <v>6.9499999999999998E-4</v>
      </c>
      <c r="G64" s="56">
        <v>3.0309999999999998E-3</v>
      </c>
      <c r="H64" s="56">
        <v>99954.0105783779</v>
      </c>
      <c r="I64" s="56">
        <v>69.443902800489994</v>
      </c>
      <c r="J64" s="56">
        <v>99919.288626977606</v>
      </c>
      <c r="K64" s="56">
        <v>1395951.3788061701</v>
      </c>
      <c r="L64" s="56">
        <v>61.01</v>
      </c>
    </row>
    <row r="65" spans="1:12" x14ac:dyDescent="0.2">
      <c r="A65" s="56">
        <v>2019</v>
      </c>
      <c r="B65" s="56" t="s">
        <v>5</v>
      </c>
      <c r="C65" s="56">
        <v>25</v>
      </c>
      <c r="D65" s="56">
        <v>65</v>
      </c>
      <c r="E65" s="56">
        <v>2.5</v>
      </c>
      <c r="F65" s="56">
        <v>6.4999999999999997E-4</v>
      </c>
      <c r="G65" s="56">
        <v>3.6870000000000002E-3</v>
      </c>
      <c r="H65" s="56">
        <v>99884.5666755774</v>
      </c>
      <c r="I65" s="56">
        <v>64.903872295470904</v>
      </c>
      <c r="J65" s="56">
        <v>99852.1147394297</v>
      </c>
      <c r="K65" s="56">
        <v>1296032.0901792001</v>
      </c>
      <c r="L65" s="56">
        <v>54.98</v>
      </c>
    </row>
    <row r="66" spans="1:12" x14ac:dyDescent="0.2">
      <c r="A66" s="56">
        <v>2019</v>
      </c>
      <c r="B66" s="56" t="s">
        <v>5</v>
      </c>
      <c r="C66" s="56">
        <v>30</v>
      </c>
      <c r="D66" s="56">
        <v>51</v>
      </c>
      <c r="E66" s="56">
        <v>2.5</v>
      </c>
      <c r="F66" s="56">
        <v>5.1000000000000004E-4</v>
      </c>
      <c r="G66" s="56">
        <v>4.4380000000000001E-3</v>
      </c>
      <c r="H66" s="56">
        <v>99819.662803281899</v>
      </c>
      <c r="I66" s="56">
        <v>50.895048689106702</v>
      </c>
      <c r="J66" s="56">
        <v>99794.215278937394</v>
      </c>
      <c r="K66" s="56">
        <v>1196179.9754397699</v>
      </c>
      <c r="L66" s="56">
        <v>51.05</v>
      </c>
    </row>
    <row r="67" spans="1:12" x14ac:dyDescent="0.2">
      <c r="A67" s="56">
        <v>2019</v>
      </c>
      <c r="B67" s="56" t="s">
        <v>5</v>
      </c>
      <c r="C67" s="56">
        <v>35</v>
      </c>
      <c r="D67" s="56">
        <v>43</v>
      </c>
      <c r="E67" s="56">
        <v>2.5</v>
      </c>
      <c r="F67" s="56">
        <v>4.2999999999999999E-4</v>
      </c>
      <c r="G67" s="56">
        <v>5.9170000000000004E-3</v>
      </c>
      <c r="H67" s="56">
        <v>99768.767754592802</v>
      </c>
      <c r="I67" s="56">
        <v>42.891347833810997</v>
      </c>
      <c r="J67" s="56">
        <v>99747.322080675905</v>
      </c>
      <c r="K67" s="56">
        <v>1096385.7601608301</v>
      </c>
      <c r="L67" s="56">
        <v>46.13</v>
      </c>
    </row>
    <row r="68" spans="1:12" x14ac:dyDescent="0.2">
      <c r="A68" s="56">
        <v>2019</v>
      </c>
      <c r="B68" s="56" t="s">
        <v>5</v>
      </c>
      <c r="C68" s="56">
        <v>40</v>
      </c>
      <c r="D68" s="56">
        <v>25.5</v>
      </c>
      <c r="E68" s="56">
        <v>2.5</v>
      </c>
      <c r="F68" s="56">
        <v>2.5500000000000002E-4</v>
      </c>
      <c r="G68" s="56">
        <v>8.7889999999999999E-3</v>
      </c>
      <c r="H68" s="56">
        <v>99725.876406758995</v>
      </c>
      <c r="I68" s="56">
        <v>25.426856421752898</v>
      </c>
      <c r="J68" s="56">
        <v>99713.162978548105</v>
      </c>
      <c r="K68" s="56">
        <v>996638.43808015401</v>
      </c>
      <c r="L68" s="56">
        <v>36.99</v>
      </c>
    </row>
    <row r="69" spans="1:12" x14ac:dyDescent="0.2">
      <c r="A69" s="56">
        <v>2019</v>
      </c>
      <c r="B69" s="56" t="s">
        <v>5</v>
      </c>
      <c r="C69" s="56">
        <v>45</v>
      </c>
      <c r="D69" s="56">
        <v>18.5</v>
      </c>
      <c r="E69" s="56">
        <v>2.5</v>
      </c>
      <c r="F69" s="56">
        <v>1.85E-4</v>
      </c>
      <c r="G69" s="56">
        <v>1.3494000000000001E-2</v>
      </c>
      <c r="H69" s="56">
        <v>99700.449550337304</v>
      </c>
      <c r="I69" s="56">
        <v>18.442877148070799</v>
      </c>
      <c r="J69" s="56">
        <v>99691.228111763194</v>
      </c>
      <c r="K69" s="56">
        <v>896925.27510160499</v>
      </c>
      <c r="L69" s="56">
        <v>36.24</v>
      </c>
    </row>
    <row r="70" spans="1:12" x14ac:dyDescent="0.2">
      <c r="A70" s="56">
        <v>2019</v>
      </c>
      <c r="B70" s="56" t="s">
        <v>5</v>
      </c>
      <c r="C70" s="56">
        <v>50</v>
      </c>
      <c r="D70" s="56">
        <v>14</v>
      </c>
      <c r="E70" s="56">
        <v>2.5</v>
      </c>
      <c r="F70" s="56">
        <v>1.3999999999999999E-4</v>
      </c>
      <c r="G70" s="56">
        <v>2.0159E-2</v>
      </c>
      <c r="H70" s="56">
        <v>99682.0066731892</v>
      </c>
      <c r="I70" s="56">
        <v>13.9545040961653</v>
      </c>
      <c r="J70" s="56">
        <v>99675.029421141095</v>
      </c>
      <c r="K70" s="56">
        <v>797234.04698984197</v>
      </c>
      <c r="L70" s="56">
        <v>31.93</v>
      </c>
    </row>
    <row r="71" spans="1:12" x14ac:dyDescent="0.2">
      <c r="A71" s="56">
        <v>2019</v>
      </c>
      <c r="B71" s="56" t="s">
        <v>5</v>
      </c>
      <c r="C71" s="56">
        <v>55</v>
      </c>
      <c r="D71" s="56">
        <v>8</v>
      </c>
      <c r="E71" s="56">
        <v>2.5</v>
      </c>
      <c r="F71" s="57">
        <v>8.0000000000000007E-5</v>
      </c>
      <c r="G71" s="56">
        <v>3.3218999999999999E-2</v>
      </c>
      <c r="H71" s="56">
        <v>99668.052169093004</v>
      </c>
      <c r="I71" s="56">
        <v>7.9731252442624303</v>
      </c>
      <c r="J71" s="56">
        <v>99664.065606470904</v>
      </c>
      <c r="K71" s="56">
        <v>697559.01756870095</v>
      </c>
      <c r="L71" s="56">
        <v>27.89</v>
      </c>
    </row>
    <row r="72" spans="1:12" x14ac:dyDescent="0.2">
      <c r="A72" s="56">
        <v>2019</v>
      </c>
      <c r="B72" s="56" t="s">
        <v>5</v>
      </c>
      <c r="C72" s="56">
        <v>60</v>
      </c>
      <c r="D72" s="56">
        <v>5.5</v>
      </c>
      <c r="E72" s="56">
        <v>2.5</v>
      </c>
      <c r="F72" s="57">
        <v>5.5000000000000002E-5</v>
      </c>
      <c r="G72" s="56">
        <v>4.8168000000000002E-2</v>
      </c>
      <c r="H72" s="56">
        <v>99660.079043848804</v>
      </c>
      <c r="I72" s="56">
        <v>5.4811536143095596</v>
      </c>
      <c r="J72" s="56">
        <v>99657.338467041598</v>
      </c>
      <c r="K72" s="56">
        <v>597894.95196223003</v>
      </c>
      <c r="L72" s="56">
        <v>23.31</v>
      </c>
    </row>
    <row r="73" spans="1:12" x14ac:dyDescent="0.2">
      <c r="A73" s="56">
        <v>2019</v>
      </c>
      <c r="B73" s="56" t="s">
        <v>5</v>
      </c>
      <c r="C73" s="56">
        <v>65</v>
      </c>
      <c r="D73" s="56">
        <v>6.5</v>
      </c>
      <c r="E73" s="56">
        <v>2.5</v>
      </c>
      <c r="F73" s="57">
        <v>6.4999999999999994E-5</v>
      </c>
      <c r="G73" s="56">
        <v>7.1137000000000006E-2</v>
      </c>
      <c r="H73" s="56">
        <v>99654.597890234494</v>
      </c>
      <c r="I73" s="56">
        <v>6.4773383470884101</v>
      </c>
      <c r="J73" s="56">
        <v>99651.359221060906</v>
      </c>
      <c r="K73" s="56">
        <v>498237.613495189</v>
      </c>
      <c r="L73" s="56">
        <v>19.88</v>
      </c>
    </row>
    <row r="74" spans="1:12" x14ac:dyDescent="0.2">
      <c r="A74" s="56">
        <v>2019</v>
      </c>
      <c r="B74" s="56" t="s">
        <v>5</v>
      </c>
      <c r="C74" s="56">
        <v>70</v>
      </c>
      <c r="D74" s="56">
        <v>0.5</v>
      </c>
      <c r="E74" s="56">
        <v>2.5</v>
      </c>
      <c r="F74" s="57">
        <v>5.0000000000000004E-6</v>
      </c>
      <c r="G74" s="56">
        <v>0.105922</v>
      </c>
      <c r="H74" s="56">
        <v>99648.120551887405</v>
      </c>
      <c r="I74" s="56">
        <v>0.49823935716109102</v>
      </c>
      <c r="J74" s="56">
        <v>99647.871432208805</v>
      </c>
      <c r="K74" s="56">
        <v>398586.254274128</v>
      </c>
      <c r="L74" s="56">
        <v>16.149999999999999</v>
      </c>
    </row>
    <row r="75" spans="1:12" x14ac:dyDescent="0.2">
      <c r="A75" s="56">
        <v>2019</v>
      </c>
      <c r="B75" s="56" t="s">
        <v>5</v>
      </c>
      <c r="C75" s="56">
        <v>75</v>
      </c>
      <c r="D75" s="56">
        <v>1</v>
      </c>
      <c r="E75" s="56">
        <v>2.5</v>
      </c>
      <c r="F75" s="57">
        <v>1.0000000000000001E-5</v>
      </c>
      <c r="G75" s="56">
        <v>0.168738</v>
      </c>
      <c r="H75" s="56">
        <v>99647.622312530206</v>
      </c>
      <c r="I75" s="56">
        <v>0.99647124076136595</v>
      </c>
      <c r="J75" s="56">
        <v>99647.124076909793</v>
      </c>
      <c r="K75" s="56">
        <v>298938.38284191902</v>
      </c>
      <c r="L75" s="56">
        <v>12.25</v>
      </c>
    </row>
    <row r="76" spans="1:12" x14ac:dyDescent="0.2">
      <c r="A76" s="56">
        <v>2019</v>
      </c>
      <c r="B76" s="56" t="s">
        <v>5</v>
      </c>
      <c r="C76" s="56">
        <v>80</v>
      </c>
      <c r="D76" s="56">
        <v>1</v>
      </c>
      <c r="E76" s="56">
        <v>2.5</v>
      </c>
      <c r="F76" s="57">
        <v>1.0000000000000001E-5</v>
      </c>
      <c r="G76" s="56">
        <v>0.26314300000000002</v>
      </c>
      <c r="H76" s="56">
        <v>99646.625841289497</v>
      </c>
      <c r="I76" s="56">
        <v>0.99646127609878099</v>
      </c>
      <c r="J76" s="56">
        <v>99646.127610651398</v>
      </c>
      <c r="K76" s="56">
        <v>199291.258765009</v>
      </c>
      <c r="L76" s="56">
        <v>10.01</v>
      </c>
    </row>
    <row r="77" spans="1:12" x14ac:dyDescent="0.2">
      <c r="A77" s="56">
        <v>2019</v>
      </c>
      <c r="B77" s="56" t="s">
        <v>5</v>
      </c>
      <c r="C77" s="56">
        <v>85</v>
      </c>
      <c r="D77" s="56">
        <v>1</v>
      </c>
      <c r="E77" s="56" t="s">
        <v>24</v>
      </c>
      <c r="F77" s="57">
        <v>1.0000000000000001E-5</v>
      </c>
      <c r="G77" s="56">
        <v>1</v>
      </c>
      <c r="H77" s="56">
        <v>99645.629380013401</v>
      </c>
      <c r="I77" s="56">
        <v>0.99645131153584299</v>
      </c>
      <c r="J77" s="56">
        <v>99645.131154357601</v>
      </c>
      <c r="K77" s="56">
        <v>99645.131154357601</v>
      </c>
      <c r="L77" s="56">
        <v>7.58</v>
      </c>
    </row>
    <row r="78" spans="1:12" x14ac:dyDescent="0.2">
      <c r="A78">
        <v>2021</v>
      </c>
      <c r="B78" t="s">
        <v>4</v>
      </c>
      <c r="C78">
        <v>0</v>
      </c>
      <c r="D78">
        <v>0.66666666666666696</v>
      </c>
      <c r="E78" s="58">
        <v>0.08</v>
      </c>
      <c r="F78" s="1">
        <v>6.66666666666667E-6</v>
      </c>
      <c r="G78" s="1">
        <v>6.6666444444862796E-6</v>
      </c>
      <c r="H78" s="1">
        <v>100000</v>
      </c>
      <c r="I78">
        <v>0.66666444444862805</v>
      </c>
      <c r="J78">
        <v>99999.666667777798</v>
      </c>
      <c r="K78">
        <v>1860922.79726086</v>
      </c>
      <c r="L78">
        <v>18.609227972608601</v>
      </c>
    </row>
    <row r="79" spans="1:12" x14ac:dyDescent="0.2">
      <c r="A79">
        <v>2021</v>
      </c>
      <c r="B79" t="s">
        <v>4</v>
      </c>
      <c r="C79">
        <v>1</v>
      </c>
      <c r="D79">
        <v>4</v>
      </c>
      <c r="E79" s="58">
        <v>1.5</v>
      </c>
      <c r="F79" s="1">
        <v>4.0000000000000003E-5</v>
      </c>
      <c r="G79" s="1">
        <v>3.9999200010632E-5</v>
      </c>
      <c r="H79">
        <v>99999.333335555595</v>
      </c>
      <c r="I79">
        <v>3.99989333501874</v>
      </c>
      <c r="J79">
        <v>99997.333388888001</v>
      </c>
      <c r="K79">
        <v>1760923.1305930801</v>
      </c>
      <c r="L79">
        <v>17.609348701197501</v>
      </c>
    </row>
    <row r="80" spans="1:12" x14ac:dyDescent="0.2">
      <c r="A80">
        <v>2021</v>
      </c>
      <c r="B80" t="s">
        <v>4</v>
      </c>
      <c r="C80">
        <v>5</v>
      </c>
      <c r="D80">
        <v>3</v>
      </c>
      <c r="E80" s="58">
        <v>2.5</v>
      </c>
      <c r="F80" s="1">
        <v>3.0000000000000001E-5</v>
      </c>
      <c r="G80" s="1">
        <v>2.99995500044892E-5</v>
      </c>
      <c r="H80">
        <v>99995.333442220493</v>
      </c>
      <c r="I80">
        <v>2.99981500581546</v>
      </c>
      <c r="J80">
        <v>99993.833534717603</v>
      </c>
      <c r="K80">
        <v>1660925.7972041899</v>
      </c>
      <c r="L80">
        <v>16.610033088833202</v>
      </c>
    </row>
    <row r="81" spans="1:12" x14ac:dyDescent="0.2">
      <c r="A81">
        <v>2021</v>
      </c>
      <c r="B81" t="s">
        <v>4</v>
      </c>
      <c r="C81">
        <v>10</v>
      </c>
      <c r="D81">
        <v>28.3333333333333</v>
      </c>
      <c r="E81" s="58">
        <v>2.5</v>
      </c>
      <c r="F81">
        <v>2.8333333333333297E-4</v>
      </c>
      <c r="G81">
        <v>2.83293198235057E-4</v>
      </c>
      <c r="H81">
        <v>99992.333627214699</v>
      </c>
      <c r="I81">
        <v>28.327147992240501</v>
      </c>
      <c r="J81">
        <v>99978.170053218593</v>
      </c>
      <c r="K81">
        <v>1560931.96366947</v>
      </c>
      <c r="L81">
        <v>15.6105163970755</v>
      </c>
    </row>
    <row r="82" spans="1:12" x14ac:dyDescent="0.2">
      <c r="A82">
        <v>2021</v>
      </c>
      <c r="B82" t="s">
        <v>4</v>
      </c>
      <c r="C82">
        <v>15</v>
      </c>
      <c r="D82">
        <v>331.66666666666703</v>
      </c>
      <c r="E82" s="58">
        <v>2.5</v>
      </c>
      <c r="F82">
        <v>3.31666666666667E-3</v>
      </c>
      <c r="G82">
        <v>3.3111726034482599E-3</v>
      </c>
      <c r="H82">
        <v>99964.006479222502</v>
      </c>
      <c r="I82">
        <v>330.99807958492602</v>
      </c>
      <c r="J82">
        <v>99798.507439430003</v>
      </c>
      <c r="K82">
        <v>1460953.7936162599</v>
      </c>
      <c r="L82">
        <v>14.6147983166312</v>
      </c>
    </row>
    <row r="83" spans="1:12" x14ac:dyDescent="0.2">
      <c r="A83">
        <v>2021</v>
      </c>
      <c r="B83" t="s">
        <v>4</v>
      </c>
      <c r="C83">
        <v>20</v>
      </c>
      <c r="D83">
        <v>607.66666666666697</v>
      </c>
      <c r="E83" s="58">
        <v>2.5</v>
      </c>
      <c r="F83">
        <v>6.0766666666666703E-3</v>
      </c>
      <c r="G83">
        <v>6.0582410687418696E-3</v>
      </c>
      <c r="H83">
        <v>99633.008399637605</v>
      </c>
      <c r="I83">
        <v>603.60078328898703</v>
      </c>
      <c r="J83">
        <v>99331.208007993104</v>
      </c>
      <c r="K83">
        <v>1361155.2861768301</v>
      </c>
      <c r="L83">
        <v>13.661690116965101</v>
      </c>
    </row>
    <row r="84" spans="1:12" x14ac:dyDescent="0.2">
      <c r="A84">
        <v>2021</v>
      </c>
      <c r="B84" t="s">
        <v>4</v>
      </c>
      <c r="C84">
        <v>25</v>
      </c>
      <c r="D84">
        <v>636</v>
      </c>
      <c r="E84" s="58">
        <v>2.5</v>
      </c>
      <c r="F84">
        <v>6.3600000000000002E-3</v>
      </c>
      <c r="G84">
        <v>6.3398180084888204E-3</v>
      </c>
      <c r="H84">
        <v>99029.407616348602</v>
      </c>
      <c r="I84">
        <v>627.82842177610598</v>
      </c>
      <c r="J84">
        <v>98715.493405460496</v>
      </c>
      <c r="K84">
        <v>1261824.0781688299</v>
      </c>
      <c r="L84">
        <v>12.741912817021801</v>
      </c>
    </row>
    <row r="85" spans="1:12" x14ac:dyDescent="0.2">
      <c r="A85">
        <v>2021</v>
      </c>
      <c r="B85" t="s">
        <v>4</v>
      </c>
      <c r="C85">
        <v>30</v>
      </c>
      <c r="D85">
        <v>544.33333333333303</v>
      </c>
      <c r="E85" s="58">
        <v>2.5</v>
      </c>
      <c r="F85">
        <v>5.4433333333333304E-3</v>
      </c>
      <c r="G85">
        <v>5.4285452387874402E-3</v>
      </c>
      <c r="H85">
        <v>98401.579194572507</v>
      </c>
      <c r="I85">
        <v>534.17742422586196</v>
      </c>
      <c r="J85">
        <v>98134.4904824595</v>
      </c>
      <c r="K85">
        <v>1163108.58476337</v>
      </c>
      <c r="L85">
        <v>11.820019498503401</v>
      </c>
    </row>
    <row r="86" spans="1:12" x14ac:dyDescent="0.2">
      <c r="A86">
        <v>2021</v>
      </c>
      <c r="B86" t="s">
        <v>4</v>
      </c>
      <c r="C86">
        <v>35</v>
      </c>
      <c r="D86">
        <v>434.66666666666703</v>
      </c>
      <c r="E86" s="58">
        <v>2.5</v>
      </c>
      <c r="F86">
        <v>4.3466666666666697E-3</v>
      </c>
      <c r="G86">
        <v>4.3372335835496498E-3</v>
      </c>
      <c r="H86">
        <v>97867.401770346594</v>
      </c>
      <c r="I86">
        <v>424.473781693094</v>
      </c>
      <c r="J86">
        <v>97655.164879500095</v>
      </c>
      <c r="K86">
        <v>1064974.09428091</v>
      </c>
      <c r="L86">
        <v>10.881806148077301</v>
      </c>
    </row>
    <row r="87" spans="1:12" x14ac:dyDescent="0.2">
      <c r="A87">
        <v>2021</v>
      </c>
      <c r="B87" t="s">
        <v>4</v>
      </c>
      <c r="C87">
        <v>40</v>
      </c>
      <c r="D87">
        <v>339.33333333333297</v>
      </c>
      <c r="E87" s="58">
        <v>2.5</v>
      </c>
      <c r="F87">
        <v>3.3933333333333298E-3</v>
      </c>
      <c r="G87">
        <v>3.3875824844658E-3</v>
      </c>
      <c r="H87">
        <v>97442.927988653493</v>
      </c>
      <c r="I87">
        <v>330.09595608942499</v>
      </c>
      <c r="J87">
        <v>97277.880010608802</v>
      </c>
      <c r="K87">
        <v>967318.92940141296</v>
      </c>
      <c r="L87">
        <v>9.9270306154393193</v>
      </c>
    </row>
    <row r="88" spans="1:12" x14ac:dyDescent="0.2">
      <c r="A88">
        <v>2021</v>
      </c>
      <c r="B88" t="s">
        <v>4</v>
      </c>
      <c r="C88">
        <v>45</v>
      </c>
      <c r="D88">
        <v>227.333333333333</v>
      </c>
      <c r="E88" s="58">
        <v>2.5</v>
      </c>
      <c r="F88">
        <v>2.2733333333333299E-3</v>
      </c>
      <c r="G88">
        <v>2.2707512681133801E-3</v>
      </c>
      <c r="H88">
        <v>97112.832032564096</v>
      </c>
      <c r="I88">
        <v>220.519086488027</v>
      </c>
      <c r="J88">
        <v>97002.572489320097</v>
      </c>
      <c r="K88">
        <v>870041.04939080402</v>
      </c>
      <c r="L88">
        <v>8.9590740088710401</v>
      </c>
    </row>
    <row r="89" spans="1:12" x14ac:dyDescent="0.2">
      <c r="A89">
        <v>2021</v>
      </c>
      <c r="B89" t="s">
        <v>4</v>
      </c>
      <c r="C89">
        <v>50</v>
      </c>
      <c r="D89">
        <v>153.333333333333</v>
      </c>
      <c r="E89" s="58">
        <v>2.5</v>
      </c>
      <c r="F89">
        <v>1.5333333333333299E-3</v>
      </c>
      <c r="G89">
        <v>1.53215837838705E-3</v>
      </c>
      <c r="H89">
        <v>96892.312946076097</v>
      </c>
      <c r="I89">
        <v>148.45436908163001</v>
      </c>
      <c r="J89">
        <v>96818.0857615352</v>
      </c>
      <c r="K89">
        <v>773038.47690148395</v>
      </c>
      <c r="L89">
        <v>7.9783261787930204</v>
      </c>
    </row>
    <row r="90" spans="1:12" x14ac:dyDescent="0.2">
      <c r="A90">
        <v>2021</v>
      </c>
      <c r="B90" t="s">
        <v>4</v>
      </c>
      <c r="C90">
        <v>55</v>
      </c>
      <c r="D90">
        <v>87.3333333333333</v>
      </c>
      <c r="E90" s="58">
        <v>2.5</v>
      </c>
      <c r="F90">
        <v>8.7333333333333295E-4</v>
      </c>
      <c r="G90">
        <v>8.7295208877036202E-4</v>
      </c>
      <c r="H90">
        <v>96743.858576994404</v>
      </c>
      <c r="I90">
        <v>84.452753420491803</v>
      </c>
      <c r="J90">
        <v>96701.632200284206</v>
      </c>
      <c r="K90">
        <v>676220.39113994897</v>
      </c>
      <c r="L90">
        <v>6.9898017412833804</v>
      </c>
    </row>
    <row r="91" spans="1:12" x14ac:dyDescent="0.2">
      <c r="A91">
        <v>2021</v>
      </c>
      <c r="B91" t="s">
        <v>4</v>
      </c>
      <c r="C91">
        <v>60</v>
      </c>
      <c r="D91">
        <v>45</v>
      </c>
      <c r="E91" s="58">
        <v>2.5</v>
      </c>
      <c r="F91">
        <v>4.4999999999999999E-4</v>
      </c>
      <c r="G91">
        <v>4.4989876518575201E-4</v>
      </c>
      <c r="H91">
        <v>96659.405823573907</v>
      </c>
      <c r="I91">
        <v>43.486947323614402</v>
      </c>
      <c r="J91">
        <v>96637.662349912105</v>
      </c>
      <c r="K91">
        <v>579518.75893966504</v>
      </c>
      <c r="L91">
        <v>5.9954719771133496</v>
      </c>
    </row>
    <row r="92" spans="1:12" x14ac:dyDescent="0.2">
      <c r="A92">
        <v>2021</v>
      </c>
      <c r="B92" t="s">
        <v>4</v>
      </c>
      <c r="C92">
        <v>65</v>
      </c>
      <c r="D92">
        <v>27.6666666666667</v>
      </c>
      <c r="E92" s="58">
        <v>2.5</v>
      </c>
      <c r="F92">
        <v>2.7666666666666698E-4</v>
      </c>
      <c r="G92">
        <v>2.7662839797371101E-4</v>
      </c>
      <c r="H92">
        <v>96615.918876250304</v>
      </c>
      <c r="I92">
        <v>26.726706857495099</v>
      </c>
      <c r="J92">
        <v>96602.555522821596</v>
      </c>
      <c r="K92">
        <v>482881.09658975201</v>
      </c>
      <c r="L92">
        <v>4.9979454960030596</v>
      </c>
    </row>
    <row r="93" spans="1:12" x14ac:dyDescent="0.2">
      <c r="A93">
        <v>2021</v>
      </c>
      <c r="B93" t="s">
        <v>4</v>
      </c>
      <c r="C93">
        <v>70</v>
      </c>
      <c r="D93">
        <v>14.6666666666667</v>
      </c>
      <c r="E93" s="58">
        <v>2.5</v>
      </c>
      <c r="F93">
        <v>1.4666666666666699E-4</v>
      </c>
      <c r="G93">
        <v>1.4665591163687299E-4</v>
      </c>
      <c r="H93">
        <v>96589.192169392802</v>
      </c>
      <c r="I93">
        <v>14.1653760318714</v>
      </c>
      <c r="J93">
        <v>96582.109481376901</v>
      </c>
      <c r="K93">
        <v>386278.54106693098</v>
      </c>
      <c r="L93">
        <v>3.99919009975254</v>
      </c>
    </row>
    <row r="94" spans="1:12" x14ac:dyDescent="0.2">
      <c r="A94">
        <v>2021</v>
      </c>
      <c r="B94" t="s">
        <v>4</v>
      </c>
      <c r="C94">
        <v>75</v>
      </c>
      <c r="D94">
        <v>8.6666666666666696</v>
      </c>
      <c r="E94" s="58">
        <v>2.5</v>
      </c>
      <c r="F94" s="1">
        <v>8.6666666666666695E-5</v>
      </c>
      <c r="G94" s="1">
        <v>8.6662911219614905E-5</v>
      </c>
      <c r="H94">
        <v>96575.026793360899</v>
      </c>
      <c r="I94">
        <v>8.3694729730249708</v>
      </c>
      <c r="J94">
        <v>96570.842056874404</v>
      </c>
      <c r="K94">
        <v>289696.43158555398</v>
      </c>
      <c r="L94">
        <v>2.99970335193807</v>
      </c>
    </row>
    <row r="95" spans="1:12" x14ac:dyDescent="0.2">
      <c r="A95">
        <v>2021</v>
      </c>
      <c r="B95" t="s">
        <v>4</v>
      </c>
      <c r="C95">
        <v>80</v>
      </c>
      <c r="D95">
        <v>4.3333333333333304</v>
      </c>
      <c r="E95" s="58">
        <v>2.5</v>
      </c>
      <c r="F95" s="1">
        <v>4.33333333333333E-5</v>
      </c>
      <c r="G95" s="1">
        <v>4.3332394457973302E-5</v>
      </c>
      <c r="H95">
        <v>96566.657320387894</v>
      </c>
      <c r="I95">
        <v>4.1844644864949903</v>
      </c>
      <c r="J95">
        <v>96564.565088144707</v>
      </c>
      <c r="K95">
        <v>193125.58952867999</v>
      </c>
      <c r="L95">
        <v>1.9999200022832899</v>
      </c>
    </row>
    <row r="96" spans="1:12" x14ac:dyDescent="0.2">
      <c r="A96">
        <v>2021</v>
      </c>
      <c r="B96" t="s">
        <v>4</v>
      </c>
      <c r="C96">
        <v>85</v>
      </c>
      <c r="D96">
        <v>3</v>
      </c>
      <c r="E96" s="58" t="s">
        <v>24</v>
      </c>
      <c r="F96" s="1">
        <v>3.0000000000000001E-5</v>
      </c>
      <c r="G96" s="1">
        <v>2.99995500044892E-5</v>
      </c>
      <c r="H96">
        <v>96562.472855901404</v>
      </c>
      <c r="I96">
        <v>2.8968307329977399</v>
      </c>
      <c r="J96">
        <v>96561.024440534893</v>
      </c>
      <c r="K96">
        <v>96561.024440534893</v>
      </c>
      <c r="L96">
        <v>0.99998500022499803</v>
      </c>
    </row>
    <row r="97" spans="1:12" x14ac:dyDescent="0.2">
      <c r="A97">
        <v>2021</v>
      </c>
      <c r="B97" t="s">
        <v>5</v>
      </c>
      <c r="C97">
        <v>0</v>
      </c>
      <c r="D97">
        <v>1</v>
      </c>
      <c r="E97">
        <v>0.08</v>
      </c>
      <c r="F97" s="1">
        <v>1.0000000000000001E-5</v>
      </c>
      <c r="G97" s="1">
        <v>9.9999500001724007E-6</v>
      </c>
      <c r="H97" s="1">
        <v>100000</v>
      </c>
      <c r="I97">
        <v>0.99999500001723995</v>
      </c>
      <c r="J97">
        <v>99999.500002500004</v>
      </c>
      <c r="K97">
        <v>1893901.3516357101</v>
      </c>
      <c r="L97">
        <v>18.9390135163571</v>
      </c>
    </row>
    <row r="98" spans="1:12" x14ac:dyDescent="0.2">
      <c r="A98">
        <v>2021</v>
      </c>
      <c r="B98" t="s">
        <v>5</v>
      </c>
      <c r="C98">
        <v>1</v>
      </c>
      <c r="D98">
        <v>2.3333333333333299</v>
      </c>
      <c r="E98">
        <v>1.51</v>
      </c>
      <c r="F98" s="1">
        <v>2.3333333333333299E-5</v>
      </c>
      <c r="G98" s="1">
        <v>2.3333061113239901E-5</v>
      </c>
      <c r="H98">
        <v>99999.000004999994</v>
      </c>
      <c r="I98">
        <v>2.33328277837954</v>
      </c>
      <c r="J98">
        <v>99997.8333636108</v>
      </c>
      <c r="K98">
        <v>1793901.85163321</v>
      </c>
      <c r="L98">
        <v>17.939197907414201</v>
      </c>
    </row>
    <row r="99" spans="1:12" x14ac:dyDescent="0.2">
      <c r="A99">
        <v>2021</v>
      </c>
      <c r="B99" t="s">
        <v>5</v>
      </c>
      <c r="C99">
        <v>5</v>
      </c>
      <c r="D99">
        <v>4</v>
      </c>
      <c r="E99">
        <v>2.5</v>
      </c>
      <c r="F99" s="1">
        <v>4.0000000000000003E-5</v>
      </c>
      <c r="G99" s="1">
        <v>3.9999200010632E-5</v>
      </c>
      <c r="H99">
        <v>99996.666722221606</v>
      </c>
      <c r="I99">
        <v>3.99978667261865</v>
      </c>
      <c r="J99">
        <v>99994.666828885296</v>
      </c>
      <c r="K99">
        <v>1693904.0182696001</v>
      </c>
      <c r="L99">
        <v>16.939604826779501</v>
      </c>
    </row>
    <row r="100" spans="1:12" x14ac:dyDescent="0.2">
      <c r="A100">
        <v>2021</v>
      </c>
      <c r="B100" t="s">
        <v>5</v>
      </c>
      <c r="C100">
        <v>10</v>
      </c>
      <c r="D100">
        <v>10</v>
      </c>
      <c r="E100">
        <v>2.5</v>
      </c>
      <c r="F100" s="1">
        <v>1E-4</v>
      </c>
      <c r="G100" s="1">
        <v>9.9995000166663796E-5</v>
      </c>
      <c r="H100">
        <v>99992.666935549001</v>
      </c>
      <c r="I100">
        <v>9.99876674688538</v>
      </c>
      <c r="J100">
        <v>99987.667552175495</v>
      </c>
      <c r="K100">
        <v>1593909.35144072</v>
      </c>
      <c r="L100">
        <v>15.9402624241244</v>
      </c>
    </row>
    <row r="101" spans="1:12" x14ac:dyDescent="0.2">
      <c r="A101">
        <v>2021</v>
      </c>
      <c r="B101" t="s">
        <v>5</v>
      </c>
      <c r="C101">
        <v>15</v>
      </c>
      <c r="D101">
        <v>60.3333333333333</v>
      </c>
      <c r="E101">
        <v>2.5</v>
      </c>
      <c r="F101">
        <v>6.03333333333333E-4</v>
      </c>
      <c r="G101">
        <v>6.0315136437560902E-4</v>
      </c>
      <c r="H101">
        <v>99982.668168802105</v>
      </c>
      <c r="I101">
        <v>60.304682719926802</v>
      </c>
      <c r="J101">
        <v>99952.515827442097</v>
      </c>
      <c r="K101">
        <v>1493921.6838885399</v>
      </c>
      <c r="L101">
        <v>14.9418065275707</v>
      </c>
    </row>
    <row r="102" spans="1:12" x14ac:dyDescent="0.2">
      <c r="A102">
        <v>2021</v>
      </c>
      <c r="B102" t="s">
        <v>5</v>
      </c>
      <c r="C102">
        <v>20</v>
      </c>
      <c r="D102">
        <v>97</v>
      </c>
      <c r="E102">
        <v>2.5</v>
      </c>
      <c r="F102">
        <v>9.7000000000000005E-4</v>
      </c>
      <c r="G102">
        <v>9.6952970207531098E-4</v>
      </c>
      <c r="H102">
        <v>99922.363486082206</v>
      </c>
      <c r="I102">
        <v>96.877699301322195</v>
      </c>
      <c r="J102">
        <v>99873.924636431504</v>
      </c>
      <c r="K102">
        <v>1393969.1680610999</v>
      </c>
      <c r="L102">
        <v>13.950522379860001</v>
      </c>
    </row>
    <row r="103" spans="1:12" x14ac:dyDescent="0.2">
      <c r="A103">
        <v>2021</v>
      </c>
      <c r="B103" t="s">
        <v>5</v>
      </c>
      <c r="C103">
        <v>25</v>
      </c>
      <c r="D103">
        <v>91</v>
      </c>
      <c r="E103">
        <v>2.5</v>
      </c>
      <c r="F103">
        <v>9.1E-4</v>
      </c>
      <c r="G103">
        <v>9.09586075566571E-4</v>
      </c>
      <c r="H103">
        <v>99825.485786780904</v>
      </c>
      <c r="I103">
        <v>90.799871858324494</v>
      </c>
      <c r="J103">
        <v>99780.085850851698</v>
      </c>
      <c r="K103">
        <v>1294095.2434246701</v>
      </c>
      <c r="L103">
        <v>12.9635757164132</v>
      </c>
    </row>
    <row r="104" spans="1:12" x14ac:dyDescent="0.2">
      <c r="A104">
        <v>2021</v>
      </c>
      <c r="B104" t="s">
        <v>5</v>
      </c>
      <c r="C104">
        <v>30</v>
      </c>
      <c r="D104">
        <v>70.3333333333333</v>
      </c>
      <c r="E104">
        <v>2.5</v>
      </c>
      <c r="F104">
        <v>7.0333333333333305E-4</v>
      </c>
      <c r="G104">
        <v>7.0308605242153099E-4</v>
      </c>
      <c r="H104">
        <v>99734.685914922506</v>
      </c>
      <c r="I104">
        <v>70.122066609424195</v>
      </c>
      <c r="J104">
        <v>99699.624881617798</v>
      </c>
      <c r="K104">
        <v>1194315.1575738201</v>
      </c>
      <c r="L104">
        <v>11.9749227324244</v>
      </c>
    </row>
    <row r="105" spans="1:12" x14ac:dyDescent="0.2">
      <c r="A105">
        <v>2021</v>
      </c>
      <c r="B105" t="s">
        <v>5</v>
      </c>
      <c r="C105">
        <v>35</v>
      </c>
      <c r="D105">
        <v>66.6666666666667</v>
      </c>
      <c r="E105">
        <v>2.5</v>
      </c>
      <c r="F105">
        <v>6.6666666666666697E-4</v>
      </c>
      <c r="G105">
        <v>6.6644449381891803E-4</v>
      </c>
      <c r="H105">
        <v>99664.563848313104</v>
      </c>
      <c r="I105">
        <v>66.420899805572304</v>
      </c>
      <c r="J105">
        <v>99631.353398410298</v>
      </c>
      <c r="K105">
        <v>1094615.5326922</v>
      </c>
      <c r="L105">
        <v>10.982996266939701</v>
      </c>
    </row>
    <row r="106" spans="1:12" x14ac:dyDescent="0.2">
      <c r="A106">
        <v>2021</v>
      </c>
      <c r="B106" t="s">
        <v>5</v>
      </c>
      <c r="C106">
        <v>40</v>
      </c>
      <c r="D106">
        <v>44.3333333333333</v>
      </c>
      <c r="E106">
        <v>2.5</v>
      </c>
      <c r="F106">
        <v>4.4333333333333301E-4</v>
      </c>
      <c r="G106">
        <v>4.43235075631931E-4</v>
      </c>
      <c r="H106">
        <v>99598.142948507506</v>
      </c>
      <c r="I106">
        <v>44.145390422581698</v>
      </c>
      <c r="J106">
        <v>99576.070253296202</v>
      </c>
      <c r="K106">
        <v>994984.17929378804</v>
      </c>
      <c r="L106">
        <v>9.9899872611901692</v>
      </c>
    </row>
    <row r="107" spans="1:12" x14ac:dyDescent="0.2">
      <c r="A107">
        <v>2021</v>
      </c>
      <c r="B107" t="s">
        <v>5</v>
      </c>
      <c r="C107">
        <v>45</v>
      </c>
      <c r="D107">
        <v>34.3333333333333</v>
      </c>
      <c r="E107">
        <v>2.5</v>
      </c>
      <c r="F107">
        <v>3.4333333333333302E-4</v>
      </c>
      <c r="G107">
        <v>3.4327440118908599E-4</v>
      </c>
      <c r="H107">
        <v>99553.997558085</v>
      </c>
      <c r="I107">
        <v>34.174338897731403</v>
      </c>
      <c r="J107">
        <v>99536.910388636097</v>
      </c>
      <c r="K107">
        <v>895408.10904049198</v>
      </c>
      <c r="L107">
        <v>8.9941954216159399</v>
      </c>
    </row>
    <row r="108" spans="1:12" x14ac:dyDescent="0.2">
      <c r="A108">
        <v>2021</v>
      </c>
      <c r="B108" t="s">
        <v>5</v>
      </c>
      <c r="C108">
        <v>50</v>
      </c>
      <c r="D108">
        <v>16.6666666666667</v>
      </c>
      <c r="E108">
        <v>2.5</v>
      </c>
      <c r="F108">
        <v>1.6666666666666701E-4</v>
      </c>
      <c r="G108">
        <v>1.6665277854932499E-4</v>
      </c>
      <c r="H108">
        <v>99519.823219187194</v>
      </c>
      <c r="I108">
        <v>16.5852550602152</v>
      </c>
      <c r="J108">
        <v>99511.530591657094</v>
      </c>
      <c r="K108">
        <v>795871.19865185604</v>
      </c>
      <c r="L108">
        <v>7.9971122627397602</v>
      </c>
    </row>
    <row r="109" spans="1:12" x14ac:dyDescent="0.2">
      <c r="A109">
        <v>2021</v>
      </c>
      <c r="B109" t="s">
        <v>5</v>
      </c>
      <c r="C109">
        <v>55</v>
      </c>
      <c r="D109">
        <v>12.6666666666667</v>
      </c>
      <c r="E109">
        <v>2.5</v>
      </c>
      <c r="F109">
        <v>1.2666666666666699E-4</v>
      </c>
      <c r="G109">
        <v>1.2665864478311799E-4</v>
      </c>
      <c r="H109">
        <v>99503.237964126994</v>
      </c>
      <c r="I109">
        <v>12.6029452720684</v>
      </c>
      <c r="J109">
        <v>99496.936491490997</v>
      </c>
      <c r="K109">
        <v>696359.66806019901</v>
      </c>
      <c r="L109">
        <v>6.9983618855825602</v>
      </c>
    </row>
    <row r="110" spans="1:12" x14ac:dyDescent="0.2">
      <c r="A110">
        <v>2021</v>
      </c>
      <c r="B110" t="s">
        <v>5</v>
      </c>
      <c r="C110">
        <v>60</v>
      </c>
      <c r="D110">
        <v>8.6666666666666696</v>
      </c>
      <c r="E110">
        <v>2.5</v>
      </c>
      <c r="F110" s="1">
        <v>8.6666666666666695E-5</v>
      </c>
      <c r="G110" s="1">
        <v>8.6662911219614905E-5</v>
      </c>
      <c r="H110">
        <v>99490.635018854897</v>
      </c>
      <c r="I110">
        <v>8.6221480698221296</v>
      </c>
      <c r="J110">
        <v>99486.323944820004</v>
      </c>
      <c r="K110">
        <v>596862.73156870797</v>
      </c>
      <c r="L110">
        <v>5.9991850635549104</v>
      </c>
    </row>
    <row r="111" spans="1:12" x14ac:dyDescent="0.2">
      <c r="A111">
        <v>2021</v>
      </c>
      <c r="B111" t="s">
        <v>5</v>
      </c>
      <c r="C111">
        <v>65</v>
      </c>
      <c r="D111">
        <v>4.3333333333333304</v>
      </c>
      <c r="E111">
        <v>2.5</v>
      </c>
      <c r="F111" s="1">
        <v>4.33333333333333E-5</v>
      </c>
      <c r="G111" s="1">
        <v>4.3332394457973302E-5</v>
      </c>
      <c r="H111">
        <v>99482.012870785096</v>
      </c>
      <c r="I111">
        <v>4.31079382319004</v>
      </c>
      <c r="J111">
        <v>99479.857473873504</v>
      </c>
      <c r="K111">
        <v>497376.40762388799</v>
      </c>
      <c r="L111">
        <v>4.9996616802468399</v>
      </c>
    </row>
    <row r="112" spans="1:12" x14ac:dyDescent="0.2">
      <c r="A112">
        <v>2021</v>
      </c>
      <c r="B112" t="s">
        <v>5</v>
      </c>
      <c r="C112">
        <v>70</v>
      </c>
      <c r="D112">
        <v>2.6666666666666701</v>
      </c>
      <c r="E112">
        <v>2.5</v>
      </c>
      <c r="F112" s="1">
        <v>2.66666666666667E-5</v>
      </c>
      <c r="G112" s="1">
        <v>2.6666311114254E-5</v>
      </c>
      <c r="H112">
        <v>99477.702076961898</v>
      </c>
      <c r="I112">
        <v>2.6527033525153398</v>
      </c>
      <c r="J112">
        <v>99476.375725285703</v>
      </c>
      <c r="K112">
        <v>397896.55015001399</v>
      </c>
      <c r="L112">
        <v>3.9998566698110598</v>
      </c>
    </row>
    <row r="113" spans="1:12" x14ac:dyDescent="0.2">
      <c r="A113">
        <v>2021</v>
      </c>
      <c r="B113" t="s">
        <v>5</v>
      </c>
      <c r="C113">
        <v>75</v>
      </c>
      <c r="D113">
        <v>1.3333333333333299</v>
      </c>
      <c r="E113">
        <v>2.5</v>
      </c>
      <c r="F113" s="1">
        <v>1.3333333333333299E-5</v>
      </c>
      <c r="G113" s="1">
        <v>1.3333244444857499E-5</v>
      </c>
      <c r="H113">
        <v>99475.049373609407</v>
      </c>
      <c r="I113">
        <v>1.3263251494626001</v>
      </c>
      <c r="J113">
        <v>99474.386211034696</v>
      </c>
      <c r="K113">
        <v>298420.17442472797</v>
      </c>
      <c r="L113">
        <v>2.9999500005666602</v>
      </c>
    </row>
    <row r="114" spans="1:12" x14ac:dyDescent="0.2">
      <c r="A114">
        <v>2021</v>
      </c>
      <c r="B114" t="s">
        <v>5</v>
      </c>
      <c r="C114">
        <v>80</v>
      </c>
      <c r="D114">
        <v>0.66666666666666696</v>
      </c>
      <c r="E114">
        <v>2.5</v>
      </c>
      <c r="F114" s="1">
        <v>6.66666666666667E-6</v>
      </c>
      <c r="G114" s="1">
        <v>6.6666444444862796E-6</v>
      </c>
      <c r="H114">
        <v>99473.72304846</v>
      </c>
      <c r="I114">
        <v>0.663155943133382</v>
      </c>
      <c r="J114">
        <v>99473.391470488394</v>
      </c>
      <c r="K114">
        <v>198945.788213694</v>
      </c>
      <c r="L114">
        <v>1.9999833334555499</v>
      </c>
    </row>
    <row r="115" spans="1:12" x14ac:dyDescent="0.2">
      <c r="A115">
        <v>2021</v>
      </c>
      <c r="B115" t="s">
        <v>5</v>
      </c>
      <c r="C115">
        <v>85</v>
      </c>
      <c r="D115">
        <v>1.3333333333333299</v>
      </c>
      <c r="E115" t="s">
        <v>24</v>
      </c>
      <c r="F115" s="1">
        <v>1.3333333333333299E-5</v>
      </c>
      <c r="G115" s="1">
        <v>1.3333244444857499E-5</v>
      </c>
      <c r="H115">
        <v>99473.059892516801</v>
      </c>
      <c r="I115">
        <v>1.3262986232248799</v>
      </c>
      <c r="J115">
        <v>99472.396743205201</v>
      </c>
      <c r="K115">
        <v>99472.396743205201</v>
      </c>
      <c r="L115">
        <v>0.99999333337777796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BD59-4C44-D54A-96F0-9DD98C0D2363}">
  <dimension ref="A1:J1311"/>
  <sheetViews>
    <sheetView topLeftCell="A543" zoomScale="140" zoomScaleNormal="140" workbookViewId="0">
      <selection activeCell="C546" sqref="C546"/>
    </sheetView>
  </sheetViews>
  <sheetFormatPr baseColWidth="10" defaultRowHeight="16" x14ac:dyDescent="0.2"/>
  <sheetData>
    <row r="1" spans="1:8" x14ac:dyDescent="0.2">
      <c r="A1" t="s">
        <v>0</v>
      </c>
      <c r="B1" t="s">
        <v>2</v>
      </c>
      <c r="C1" t="s">
        <v>1</v>
      </c>
      <c r="D1" t="s">
        <v>3</v>
      </c>
    </row>
    <row r="2" spans="1:8" x14ac:dyDescent="0.2">
      <c r="A2">
        <v>1990</v>
      </c>
      <c r="B2">
        <v>0</v>
      </c>
      <c r="C2" t="s">
        <v>4</v>
      </c>
      <c r="D2">
        <v>1</v>
      </c>
      <c r="F2" s="1"/>
      <c r="G2" s="1"/>
      <c r="H2" s="1"/>
    </row>
    <row r="3" spans="1:8" x14ac:dyDescent="0.2">
      <c r="A3">
        <v>1990</v>
      </c>
      <c r="B3">
        <v>1</v>
      </c>
      <c r="C3" t="s">
        <v>4</v>
      </c>
      <c r="D3">
        <v>2</v>
      </c>
      <c r="F3" s="1"/>
      <c r="G3" s="1"/>
    </row>
    <row r="4" spans="1:8" x14ac:dyDescent="0.2">
      <c r="A4">
        <v>1990</v>
      </c>
      <c r="B4">
        <v>5</v>
      </c>
      <c r="C4" t="s">
        <v>4</v>
      </c>
      <c r="D4">
        <v>4</v>
      </c>
      <c r="F4" s="1"/>
      <c r="G4" s="1"/>
    </row>
    <row r="5" spans="1:8" x14ac:dyDescent="0.2">
      <c r="A5">
        <v>1990</v>
      </c>
      <c r="B5">
        <v>10</v>
      </c>
      <c r="C5" t="s">
        <v>4</v>
      </c>
      <c r="D5">
        <v>5</v>
      </c>
      <c r="F5" s="1"/>
      <c r="G5" s="1"/>
    </row>
    <row r="6" spans="1:8" x14ac:dyDescent="0.2">
      <c r="A6">
        <v>1990</v>
      </c>
      <c r="B6">
        <v>15</v>
      </c>
      <c r="C6" t="s">
        <v>4</v>
      </c>
      <c r="D6">
        <v>41</v>
      </c>
    </row>
    <row r="7" spans="1:8" x14ac:dyDescent="0.2">
      <c r="A7">
        <v>1990</v>
      </c>
      <c r="B7">
        <v>20</v>
      </c>
      <c r="C7" t="s">
        <v>4</v>
      </c>
      <c r="D7">
        <v>67</v>
      </c>
    </row>
    <row r="8" spans="1:8" x14ac:dyDescent="0.2">
      <c r="A8">
        <v>1990</v>
      </c>
      <c r="B8">
        <v>25</v>
      </c>
      <c r="C8" t="s">
        <v>4</v>
      </c>
      <c r="D8">
        <v>43.8958333333333</v>
      </c>
    </row>
    <row r="9" spans="1:8" x14ac:dyDescent="0.2">
      <c r="A9">
        <v>1990</v>
      </c>
      <c r="B9">
        <v>30</v>
      </c>
      <c r="C9" t="s">
        <v>4</v>
      </c>
      <c r="D9">
        <v>32</v>
      </c>
    </row>
    <row r="10" spans="1:8" x14ac:dyDescent="0.2">
      <c r="A10">
        <v>1990</v>
      </c>
      <c r="B10">
        <v>35</v>
      </c>
      <c r="C10" t="s">
        <v>4</v>
      </c>
      <c r="D10">
        <v>32</v>
      </c>
    </row>
    <row r="11" spans="1:8" x14ac:dyDescent="0.2">
      <c r="A11">
        <v>1990</v>
      </c>
      <c r="B11">
        <v>40</v>
      </c>
      <c r="C11" t="s">
        <v>4</v>
      </c>
      <c r="D11">
        <v>23</v>
      </c>
    </row>
    <row r="12" spans="1:8" x14ac:dyDescent="0.2">
      <c r="A12">
        <v>1990</v>
      </c>
      <c r="B12">
        <v>45</v>
      </c>
      <c r="C12" t="s">
        <v>4</v>
      </c>
      <c r="D12">
        <v>18</v>
      </c>
    </row>
    <row r="13" spans="1:8" x14ac:dyDescent="0.2">
      <c r="A13">
        <v>1990</v>
      </c>
      <c r="B13">
        <v>50</v>
      </c>
      <c r="C13" t="s">
        <v>4</v>
      </c>
      <c r="D13">
        <v>28</v>
      </c>
    </row>
    <row r="14" spans="1:8" x14ac:dyDescent="0.2">
      <c r="A14">
        <v>1990</v>
      </c>
      <c r="B14">
        <v>55</v>
      </c>
      <c r="C14" t="s">
        <v>4</v>
      </c>
      <c r="D14">
        <v>17</v>
      </c>
    </row>
    <row r="15" spans="1:8" x14ac:dyDescent="0.2">
      <c r="A15">
        <v>1990</v>
      </c>
      <c r="B15">
        <v>60</v>
      </c>
      <c r="C15" t="s">
        <v>4</v>
      </c>
      <c r="D15">
        <v>6</v>
      </c>
      <c r="F15" s="1"/>
      <c r="G15" s="1"/>
    </row>
    <row r="16" spans="1:8" x14ac:dyDescent="0.2">
      <c r="A16">
        <v>1990</v>
      </c>
      <c r="B16">
        <v>65</v>
      </c>
      <c r="C16" t="s">
        <v>4</v>
      </c>
      <c r="D16">
        <v>8</v>
      </c>
      <c r="F16" s="1"/>
      <c r="G16" s="1"/>
    </row>
    <row r="17" spans="1:8" x14ac:dyDescent="0.2">
      <c r="A17">
        <v>1990</v>
      </c>
      <c r="B17">
        <v>70</v>
      </c>
      <c r="C17" t="s">
        <v>4</v>
      </c>
      <c r="D17">
        <v>1</v>
      </c>
      <c r="F17" s="1"/>
      <c r="G17" s="1"/>
    </row>
    <row r="18" spans="1:8" x14ac:dyDescent="0.2">
      <c r="A18">
        <v>1990</v>
      </c>
      <c r="B18">
        <v>75</v>
      </c>
      <c r="C18" t="s">
        <v>4</v>
      </c>
      <c r="D18">
        <v>6</v>
      </c>
      <c r="F18" s="1"/>
      <c r="G18" s="1"/>
    </row>
    <row r="19" spans="1:8" x14ac:dyDescent="0.2">
      <c r="A19">
        <v>1990</v>
      </c>
      <c r="B19">
        <v>80</v>
      </c>
      <c r="C19" t="s">
        <v>4</v>
      </c>
      <c r="D19">
        <v>2</v>
      </c>
      <c r="F19" s="1"/>
      <c r="G19" s="1"/>
    </row>
    <row r="20" spans="1:8" x14ac:dyDescent="0.2">
      <c r="A20">
        <v>1990</v>
      </c>
      <c r="B20">
        <v>85</v>
      </c>
      <c r="C20" t="s">
        <v>4</v>
      </c>
      <c r="D20">
        <v>2</v>
      </c>
      <c r="F20" s="1"/>
      <c r="G20" s="1"/>
    </row>
    <row r="21" spans="1:8" x14ac:dyDescent="0.2">
      <c r="A21">
        <v>1991</v>
      </c>
      <c r="B21">
        <v>0</v>
      </c>
      <c r="C21" t="s">
        <v>4</v>
      </c>
      <c r="D21">
        <v>1</v>
      </c>
      <c r="F21" s="1"/>
      <c r="G21" s="1"/>
      <c r="H21" s="1"/>
    </row>
    <row r="22" spans="1:8" x14ac:dyDescent="0.2">
      <c r="A22">
        <v>1991</v>
      </c>
      <c r="B22">
        <v>1</v>
      </c>
      <c r="C22" t="s">
        <v>4</v>
      </c>
      <c r="D22">
        <v>2</v>
      </c>
      <c r="F22" s="1"/>
      <c r="G22" s="1"/>
    </row>
    <row r="23" spans="1:8" x14ac:dyDescent="0.2">
      <c r="A23">
        <v>1991</v>
      </c>
      <c r="B23">
        <v>5</v>
      </c>
      <c r="C23" t="s">
        <v>4</v>
      </c>
      <c r="D23">
        <v>3</v>
      </c>
      <c r="F23" s="1"/>
      <c r="G23" s="1"/>
    </row>
    <row r="24" spans="1:8" x14ac:dyDescent="0.2">
      <c r="A24">
        <v>1991</v>
      </c>
      <c r="B24">
        <v>10</v>
      </c>
      <c r="C24" t="s">
        <v>4</v>
      </c>
      <c r="D24">
        <v>5</v>
      </c>
      <c r="F24" s="1"/>
      <c r="G24" s="1"/>
    </row>
    <row r="25" spans="1:8" x14ac:dyDescent="0.2">
      <c r="A25">
        <v>1991</v>
      </c>
      <c r="B25">
        <v>15</v>
      </c>
      <c r="C25" t="s">
        <v>4</v>
      </c>
      <c r="D25">
        <v>54</v>
      </c>
      <c r="F25" s="1"/>
      <c r="G25" s="1"/>
    </row>
    <row r="26" spans="1:8" x14ac:dyDescent="0.2">
      <c r="A26">
        <v>1991</v>
      </c>
      <c r="B26">
        <v>20</v>
      </c>
      <c r="C26" t="s">
        <v>4</v>
      </c>
      <c r="D26">
        <v>74</v>
      </c>
      <c r="F26" s="1"/>
      <c r="G26" s="1"/>
    </row>
    <row r="27" spans="1:8" x14ac:dyDescent="0.2">
      <c r="A27">
        <v>1991</v>
      </c>
      <c r="B27">
        <v>25</v>
      </c>
      <c r="C27" t="s">
        <v>4</v>
      </c>
      <c r="D27">
        <v>50.961538461538503</v>
      </c>
      <c r="F27" s="1"/>
      <c r="G27" s="1"/>
    </row>
    <row r="28" spans="1:8" x14ac:dyDescent="0.2">
      <c r="A28">
        <v>1991</v>
      </c>
      <c r="B28">
        <v>30</v>
      </c>
      <c r="C28" t="s">
        <v>4</v>
      </c>
      <c r="D28">
        <v>38</v>
      </c>
      <c r="F28" s="1"/>
      <c r="G28" s="1"/>
    </row>
    <row r="29" spans="1:8" x14ac:dyDescent="0.2">
      <c r="A29">
        <v>1991</v>
      </c>
      <c r="B29">
        <v>35</v>
      </c>
      <c r="C29" t="s">
        <v>4</v>
      </c>
      <c r="D29">
        <v>28</v>
      </c>
      <c r="F29" s="1"/>
      <c r="G29" s="1"/>
    </row>
    <row r="30" spans="1:8" x14ac:dyDescent="0.2">
      <c r="A30">
        <v>1991</v>
      </c>
      <c r="B30">
        <v>40</v>
      </c>
      <c r="C30" t="s">
        <v>4</v>
      </c>
      <c r="D30">
        <v>21</v>
      </c>
      <c r="F30" s="1"/>
      <c r="G30" s="1"/>
    </row>
    <row r="31" spans="1:8" x14ac:dyDescent="0.2">
      <c r="A31">
        <v>1991</v>
      </c>
      <c r="B31">
        <v>45</v>
      </c>
      <c r="C31" t="s">
        <v>4</v>
      </c>
      <c r="D31">
        <v>24</v>
      </c>
    </row>
    <row r="32" spans="1:8" x14ac:dyDescent="0.2">
      <c r="A32">
        <v>1991</v>
      </c>
      <c r="B32">
        <v>50</v>
      </c>
      <c r="C32" t="s">
        <v>4</v>
      </c>
      <c r="D32">
        <v>15</v>
      </c>
      <c r="F32" s="1"/>
      <c r="G32" s="1"/>
    </row>
    <row r="33" spans="1:8" x14ac:dyDescent="0.2">
      <c r="A33">
        <v>1991</v>
      </c>
      <c r="B33">
        <v>55</v>
      </c>
      <c r="C33" t="s">
        <v>4</v>
      </c>
      <c r="D33">
        <v>22</v>
      </c>
      <c r="F33" s="1"/>
      <c r="G33" s="1"/>
    </row>
    <row r="34" spans="1:8" x14ac:dyDescent="0.2">
      <c r="A34">
        <v>1991</v>
      </c>
      <c r="B34">
        <v>60</v>
      </c>
      <c r="C34" t="s">
        <v>4</v>
      </c>
      <c r="D34">
        <v>8</v>
      </c>
      <c r="F34" s="1"/>
      <c r="G34" s="1"/>
    </row>
    <row r="35" spans="1:8" x14ac:dyDescent="0.2">
      <c r="A35">
        <v>1991</v>
      </c>
      <c r="B35">
        <v>65</v>
      </c>
      <c r="C35" t="s">
        <v>4</v>
      </c>
      <c r="D35">
        <v>13</v>
      </c>
    </row>
    <row r="36" spans="1:8" x14ac:dyDescent="0.2">
      <c r="A36">
        <v>1991</v>
      </c>
      <c r="B36">
        <v>70</v>
      </c>
      <c r="C36" t="s">
        <v>4</v>
      </c>
      <c r="D36">
        <v>11</v>
      </c>
    </row>
    <row r="37" spans="1:8" x14ac:dyDescent="0.2">
      <c r="A37">
        <v>1991</v>
      </c>
      <c r="B37">
        <v>75</v>
      </c>
      <c r="C37" t="s">
        <v>4</v>
      </c>
      <c r="D37">
        <v>4</v>
      </c>
      <c r="F37" s="1"/>
      <c r="G37" s="1"/>
    </row>
    <row r="38" spans="1:8" x14ac:dyDescent="0.2">
      <c r="A38">
        <v>1991</v>
      </c>
      <c r="B38">
        <v>80</v>
      </c>
      <c r="C38" t="s">
        <v>4</v>
      </c>
      <c r="D38">
        <v>4</v>
      </c>
    </row>
    <row r="39" spans="1:8" x14ac:dyDescent="0.2">
      <c r="A39">
        <v>1991</v>
      </c>
      <c r="B39">
        <v>85</v>
      </c>
      <c r="C39" t="s">
        <v>4</v>
      </c>
      <c r="D39">
        <v>1</v>
      </c>
    </row>
    <row r="40" spans="1:8" x14ac:dyDescent="0.2">
      <c r="A40">
        <v>1992</v>
      </c>
      <c r="B40">
        <v>0</v>
      </c>
      <c r="C40" t="s">
        <v>4</v>
      </c>
      <c r="D40">
        <v>3</v>
      </c>
      <c r="F40" s="1"/>
      <c r="G40" s="1"/>
      <c r="H40" s="1"/>
    </row>
    <row r="41" spans="1:8" x14ac:dyDescent="0.2">
      <c r="A41">
        <v>1992</v>
      </c>
      <c r="B41">
        <v>1</v>
      </c>
      <c r="C41" t="s">
        <v>4</v>
      </c>
      <c r="D41">
        <v>1</v>
      </c>
      <c r="F41" s="1"/>
      <c r="G41" s="1"/>
    </row>
    <row r="42" spans="1:8" x14ac:dyDescent="0.2">
      <c r="A42">
        <v>1992</v>
      </c>
      <c r="B42">
        <v>5</v>
      </c>
      <c r="C42" t="s">
        <v>4</v>
      </c>
      <c r="D42">
        <v>4</v>
      </c>
      <c r="F42" s="1"/>
      <c r="G42" s="1"/>
    </row>
    <row r="43" spans="1:8" x14ac:dyDescent="0.2">
      <c r="A43">
        <v>1992</v>
      </c>
      <c r="B43">
        <v>10</v>
      </c>
      <c r="C43" t="s">
        <v>4</v>
      </c>
      <c r="D43">
        <v>4</v>
      </c>
      <c r="F43" s="1"/>
      <c r="G43" s="1"/>
    </row>
    <row r="44" spans="1:8" x14ac:dyDescent="0.2">
      <c r="A44">
        <v>1992</v>
      </c>
      <c r="B44">
        <v>15</v>
      </c>
      <c r="C44" t="s">
        <v>4</v>
      </c>
      <c r="D44">
        <v>44</v>
      </c>
    </row>
    <row r="45" spans="1:8" x14ac:dyDescent="0.2">
      <c r="A45">
        <v>1992</v>
      </c>
      <c r="B45">
        <v>20</v>
      </c>
      <c r="C45" t="s">
        <v>4</v>
      </c>
      <c r="D45">
        <v>49</v>
      </c>
    </row>
    <row r="46" spans="1:8" x14ac:dyDescent="0.2">
      <c r="A46">
        <v>1992</v>
      </c>
      <c r="B46">
        <v>25</v>
      </c>
      <c r="C46" t="s">
        <v>4</v>
      </c>
      <c r="D46">
        <v>44</v>
      </c>
    </row>
    <row r="47" spans="1:8" x14ac:dyDescent="0.2">
      <c r="A47">
        <v>1992</v>
      </c>
      <c r="B47">
        <v>30</v>
      </c>
      <c r="C47" t="s">
        <v>4</v>
      </c>
      <c r="D47">
        <v>44</v>
      </c>
    </row>
    <row r="48" spans="1:8" x14ac:dyDescent="0.2">
      <c r="A48">
        <v>1992</v>
      </c>
      <c r="B48">
        <v>35</v>
      </c>
      <c r="C48" t="s">
        <v>4</v>
      </c>
      <c r="D48">
        <v>30</v>
      </c>
    </row>
    <row r="49" spans="1:8" x14ac:dyDescent="0.2">
      <c r="A49">
        <v>1992</v>
      </c>
      <c r="B49">
        <v>40</v>
      </c>
      <c r="C49" t="s">
        <v>4</v>
      </c>
      <c r="D49">
        <v>20</v>
      </c>
    </row>
    <row r="50" spans="1:8" x14ac:dyDescent="0.2">
      <c r="A50">
        <v>1992</v>
      </c>
      <c r="B50">
        <v>45</v>
      </c>
      <c r="C50" t="s">
        <v>4</v>
      </c>
      <c r="D50">
        <v>16</v>
      </c>
    </row>
    <row r="51" spans="1:8" x14ac:dyDescent="0.2">
      <c r="A51">
        <v>1992</v>
      </c>
      <c r="B51">
        <v>50</v>
      </c>
      <c r="C51" t="s">
        <v>4</v>
      </c>
      <c r="D51">
        <v>14</v>
      </c>
    </row>
    <row r="52" spans="1:8" x14ac:dyDescent="0.2">
      <c r="A52">
        <v>1992</v>
      </c>
      <c r="B52">
        <v>55</v>
      </c>
      <c r="C52" t="s">
        <v>4</v>
      </c>
      <c r="D52">
        <v>16</v>
      </c>
    </row>
    <row r="53" spans="1:8" x14ac:dyDescent="0.2">
      <c r="A53">
        <v>1992</v>
      </c>
      <c r="B53">
        <v>60</v>
      </c>
      <c r="C53" t="s">
        <v>4</v>
      </c>
      <c r="D53">
        <v>11</v>
      </c>
      <c r="F53" s="1"/>
      <c r="G53" s="1"/>
    </row>
    <row r="54" spans="1:8" x14ac:dyDescent="0.2">
      <c r="A54">
        <v>1992</v>
      </c>
      <c r="B54">
        <v>65</v>
      </c>
      <c r="C54" t="s">
        <v>4</v>
      </c>
      <c r="D54">
        <v>9</v>
      </c>
    </row>
    <row r="55" spans="1:8" x14ac:dyDescent="0.2">
      <c r="A55">
        <v>1992</v>
      </c>
      <c r="B55">
        <v>70</v>
      </c>
      <c r="C55" t="s">
        <v>4</v>
      </c>
      <c r="D55">
        <v>7</v>
      </c>
    </row>
    <row r="56" spans="1:8" x14ac:dyDescent="0.2">
      <c r="A56">
        <v>1992</v>
      </c>
      <c r="B56">
        <v>75</v>
      </c>
      <c r="C56" t="s">
        <v>4</v>
      </c>
      <c r="D56">
        <v>2</v>
      </c>
      <c r="F56" s="1"/>
      <c r="G56" s="1"/>
    </row>
    <row r="57" spans="1:8" x14ac:dyDescent="0.2">
      <c r="A57">
        <v>1992</v>
      </c>
      <c r="B57">
        <v>80</v>
      </c>
      <c r="C57" t="s">
        <v>4</v>
      </c>
      <c r="D57">
        <v>3</v>
      </c>
      <c r="F57" s="1"/>
      <c r="G57" s="1"/>
    </row>
    <row r="58" spans="1:8" x14ac:dyDescent="0.2">
      <c r="A58">
        <v>1993</v>
      </c>
      <c r="B58">
        <v>0</v>
      </c>
      <c r="C58" t="s">
        <v>4</v>
      </c>
      <c r="D58">
        <v>1</v>
      </c>
      <c r="F58" s="1"/>
      <c r="G58" s="1"/>
    </row>
    <row r="59" spans="1:8" x14ac:dyDescent="0.2">
      <c r="A59">
        <v>1993</v>
      </c>
      <c r="B59">
        <v>1</v>
      </c>
      <c r="C59" t="s">
        <v>4</v>
      </c>
      <c r="D59">
        <v>1</v>
      </c>
      <c r="F59" s="1"/>
      <c r="G59" s="1"/>
      <c r="H59" s="1"/>
    </row>
    <row r="60" spans="1:8" x14ac:dyDescent="0.2">
      <c r="A60">
        <v>1993</v>
      </c>
      <c r="B60">
        <v>5</v>
      </c>
      <c r="C60" t="s">
        <v>4</v>
      </c>
      <c r="D60">
        <v>1</v>
      </c>
      <c r="F60" s="1"/>
      <c r="G60" s="1"/>
    </row>
    <row r="61" spans="1:8" x14ac:dyDescent="0.2">
      <c r="A61">
        <v>1993</v>
      </c>
      <c r="B61">
        <v>10</v>
      </c>
      <c r="C61" t="s">
        <v>4</v>
      </c>
      <c r="D61">
        <v>5</v>
      </c>
      <c r="F61" s="1"/>
      <c r="G61" s="1"/>
    </row>
    <row r="62" spans="1:8" x14ac:dyDescent="0.2">
      <c r="A62">
        <v>1993</v>
      </c>
      <c r="B62">
        <v>15</v>
      </c>
      <c r="C62" t="s">
        <v>4</v>
      </c>
      <c r="D62">
        <v>36</v>
      </c>
      <c r="F62" s="1"/>
      <c r="G62" s="1"/>
    </row>
    <row r="63" spans="1:8" x14ac:dyDescent="0.2">
      <c r="A63">
        <v>1993</v>
      </c>
      <c r="B63">
        <v>20</v>
      </c>
      <c r="C63" t="s">
        <v>4</v>
      </c>
      <c r="D63">
        <v>56</v>
      </c>
      <c r="F63" s="1"/>
      <c r="G63" s="1"/>
    </row>
    <row r="64" spans="1:8" x14ac:dyDescent="0.2">
      <c r="A64">
        <v>1993</v>
      </c>
      <c r="B64">
        <v>25</v>
      </c>
      <c r="C64" t="s">
        <v>4</v>
      </c>
      <c r="D64">
        <v>68</v>
      </c>
      <c r="F64" s="1"/>
      <c r="G64" s="1"/>
    </row>
    <row r="65" spans="1:8" x14ac:dyDescent="0.2">
      <c r="A65">
        <v>1993</v>
      </c>
      <c r="B65">
        <v>30</v>
      </c>
      <c r="C65" t="s">
        <v>4</v>
      </c>
      <c r="D65">
        <v>36</v>
      </c>
      <c r="F65" s="1"/>
      <c r="G65" s="1"/>
    </row>
    <row r="66" spans="1:8" x14ac:dyDescent="0.2">
      <c r="A66">
        <v>1993</v>
      </c>
      <c r="B66">
        <v>35</v>
      </c>
      <c r="C66" t="s">
        <v>4</v>
      </c>
      <c r="D66">
        <v>37</v>
      </c>
      <c r="F66" s="1"/>
      <c r="G66" s="1"/>
    </row>
    <row r="67" spans="1:8" x14ac:dyDescent="0.2">
      <c r="A67">
        <v>1993</v>
      </c>
      <c r="B67">
        <v>40</v>
      </c>
      <c r="C67" t="s">
        <v>4</v>
      </c>
      <c r="D67">
        <v>27.84375</v>
      </c>
      <c r="F67" s="1"/>
      <c r="G67" s="1"/>
    </row>
    <row r="68" spans="1:8" x14ac:dyDescent="0.2">
      <c r="A68">
        <v>1993</v>
      </c>
      <c r="B68">
        <v>45</v>
      </c>
      <c r="C68" t="s">
        <v>4</v>
      </c>
      <c r="D68">
        <v>26</v>
      </c>
      <c r="F68" s="1"/>
      <c r="G68" s="1"/>
    </row>
    <row r="69" spans="1:8" x14ac:dyDescent="0.2">
      <c r="A69">
        <v>1993</v>
      </c>
      <c r="B69">
        <v>50</v>
      </c>
      <c r="C69" t="s">
        <v>4</v>
      </c>
      <c r="D69">
        <v>10</v>
      </c>
      <c r="F69" s="1"/>
      <c r="G69" s="1"/>
    </row>
    <row r="70" spans="1:8" x14ac:dyDescent="0.2">
      <c r="A70">
        <v>1993</v>
      </c>
      <c r="B70">
        <v>55</v>
      </c>
      <c r="C70" t="s">
        <v>4</v>
      </c>
      <c r="D70">
        <v>12</v>
      </c>
    </row>
    <row r="71" spans="1:8" x14ac:dyDescent="0.2">
      <c r="A71">
        <v>1993</v>
      </c>
      <c r="B71">
        <v>60</v>
      </c>
      <c r="C71" t="s">
        <v>4</v>
      </c>
      <c r="D71">
        <v>12</v>
      </c>
    </row>
    <row r="72" spans="1:8" x14ac:dyDescent="0.2">
      <c r="A72">
        <v>1993</v>
      </c>
      <c r="B72">
        <v>65</v>
      </c>
      <c r="C72" t="s">
        <v>4</v>
      </c>
      <c r="D72">
        <v>2</v>
      </c>
      <c r="F72" s="1"/>
      <c r="G72" s="1"/>
    </row>
    <row r="73" spans="1:8" x14ac:dyDescent="0.2">
      <c r="A73">
        <v>1993</v>
      </c>
      <c r="B73">
        <v>70</v>
      </c>
      <c r="C73" t="s">
        <v>4</v>
      </c>
      <c r="D73">
        <v>3</v>
      </c>
      <c r="F73" s="1"/>
      <c r="G73" s="1"/>
    </row>
    <row r="74" spans="1:8" x14ac:dyDescent="0.2">
      <c r="A74">
        <v>1993</v>
      </c>
      <c r="B74">
        <v>75</v>
      </c>
      <c r="C74" t="s">
        <v>4</v>
      </c>
      <c r="D74">
        <v>0</v>
      </c>
    </row>
    <row r="75" spans="1:8" x14ac:dyDescent="0.2">
      <c r="A75">
        <v>1993</v>
      </c>
      <c r="B75">
        <v>80</v>
      </c>
      <c r="C75" t="s">
        <v>4</v>
      </c>
      <c r="D75">
        <v>6</v>
      </c>
    </row>
    <row r="76" spans="1:8" x14ac:dyDescent="0.2">
      <c r="A76">
        <v>1993</v>
      </c>
      <c r="B76">
        <v>85</v>
      </c>
      <c r="C76" t="s">
        <v>4</v>
      </c>
      <c r="D76">
        <v>2</v>
      </c>
      <c r="F76" s="1"/>
      <c r="G76" s="1"/>
    </row>
    <row r="77" spans="1:8" x14ac:dyDescent="0.2">
      <c r="A77">
        <v>1994</v>
      </c>
      <c r="B77">
        <v>0</v>
      </c>
      <c r="C77" t="s">
        <v>4</v>
      </c>
      <c r="D77">
        <v>2</v>
      </c>
    </row>
    <row r="78" spans="1:8" x14ac:dyDescent="0.2">
      <c r="A78">
        <v>1994</v>
      </c>
      <c r="B78">
        <v>5</v>
      </c>
      <c r="C78" t="s">
        <v>4</v>
      </c>
      <c r="D78">
        <v>1</v>
      </c>
      <c r="F78" s="1"/>
      <c r="G78" s="1"/>
      <c r="H78" s="1"/>
    </row>
    <row r="79" spans="1:8" x14ac:dyDescent="0.2">
      <c r="A79">
        <v>1994</v>
      </c>
      <c r="B79">
        <v>10</v>
      </c>
      <c r="C79" t="s">
        <v>4</v>
      </c>
      <c r="D79">
        <v>4</v>
      </c>
      <c r="F79" s="1"/>
      <c r="G79" s="1"/>
    </row>
    <row r="80" spans="1:8" x14ac:dyDescent="0.2">
      <c r="A80">
        <v>1994</v>
      </c>
      <c r="B80">
        <v>15</v>
      </c>
      <c r="C80" t="s">
        <v>4</v>
      </c>
      <c r="D80">
        <v>35</v>
      </c>
      <c r="F80" s="1"/>
      <c r="G80" s="1"/>
    </row>
    <row r="81" spans="1:8" x14ac:dyDescent="0.2">
      <c r="A81">
        <v>1994</v>
      </c>
      <c r="B81">
        <v>20</v>
      </c>
      <c r="C81" t="s">
        <v>4</v>
      </c>
      <c r="D81">
        <v>70</v>
      </c>
      <c r="F81" s="1"/>
      <c r="G81" s="1"/>
    </row>
    <row r="82" spans="1:8" x14ac:dyDescent="0.2">
      <c r="A82">
        <v>1994</v>
      </c>
      <c r="B82">
        <v>25</v>
      </c>
      <c r="C82" t="s">
        <v>4</v>
      </c>
      <c r="D82">
        <v>55</v>
      </c>
    </row>
    <row r="83" spans="1:8" x14ac:dyDescent="0.2">
      <c r="A83">
        <v>1994</v>
      </c>
      <c r="B83">
        <v>30</v>
      </c>
      <c r="C83" t="s">
        <v>4</v>
      </c>
      <c r="D83">
        <v>32</v>
      </c>
    </row>
    <row r="84" spans="1:8" x14ac:dyDescent="0.2">
      <c r="A84">
        <v>1994</v>
      </c>
      <c r="B84">
        <v>35</v>
      </c>
      <c r="C84" t="s">
        <v>4</v>
      </c>
      <c r="D84">
        <v>21</v>
      </c>
    </row>
    <row r="85" spans="1:8" x14ac:dyDescent="0.2">
      <c r="A85">
        <v>1994</v>
      </c>
      <c r="B85">
        <v>40</v>
      </c>
      <c r="C85" t="s">
        <v>4</v>
      </c>
      <c r="D85">
        <v>18</v>
      </c>
    </row>
    <row r="86" spans="1:8" x14ac:dyDescent="0.2">
      <c r="A86">
        <v>1994</v>
      </c>
      <c r="B86">
        <v>45</v>
      </c>
      <c r="C86" t="s">
        <v>4</v>
      </c>
      <c r="D86">
        <v>16</v>
      </c>
      <c r="F86" s="1"/>
    </row>
    <row r="87" spans="1:8" x14ac:dyDescent="0.2">
      <c r="A87">
        <v>1994</v>
      </c>
      <c r="B87">
        <v>50</v>
      </c>
      <c r="C87" t="s">
        <v>4</v>
      </c>
      <c r="D87">
        <v>13</v>
      </c>
      <c r="F87" s="1"/>
    </row>
    <row r="88" spans="1:8" x14ac:dyDescent="0.2">
      <c r="A88">
        <v>1994</v>
      </c>
      <c r="B88">
        <v>55</v>
      </c>
      <c r="C88" t="s">
        <v>4</v>
      </c>
      <c r="D88">
        <v>8</v>
      </c>
    </row>
    <row r="89" spans="1:8" x14ac:dyDescent="0.2">
      <c r="A89">
        <v>1994</v>
      </c>
      <c r="B89">
        <v>60</v>
      </c>
      <c r="C89" t="s">
        <v>4</v>
      </c>
      <c r="D89">
        <v>8</v>
      </c>
    </row>
    <row r="90" spans="1:8" x14ac:dyDescent="0.2">
      <c r="A90">
        <v>1994</v>
      </c>
      <c r="B90">
        <v>65</v>
      </c>
      <c r="C90" t="s">
        <v>4</v>
      </c>
      <c r="D90">
        <v>4</v>
      </c>
    </row>
    <row r="91" spans="1:8" x14ac:dyDescent="0.2">
      <c r="A91">
        <v>1994</v>
      </c>
      <c r="B91">
        <v>70</v>
      </c>
      <c r="C91" t="s">
        <v>4</v>
      </c>
      <c r="D91">
        <v>2</v>
      </c>
    </row>
    <row r="92" spans="1:8" x14ac:dyDescent="0.2">
      <c r="A92">
        <v>1994</v>
      </c>
      <c r="B92">
        <v>75</v>
      </c>
      <c r="C92" t="s">
        <v>4</v>
      </c>
      <c r="D92">
        <v>3</v>
      </c>
      <c r="F92" s="1"/>
      <c r="G92" s="1"/>
    </row>
    <row r="93" spans="1:8" x14ac:dyDescent="0.2">
      <c r="A93">
        <v>1994</v>
      </c>
      <c r="B93">
        <v>80</v>
      </c>
      <c r="C93" t="s">
        <v>4</v>
      </c>
      <c r="D93">
        <v>2</v>
      </c>
      <c r="F93" s="1"/>
      <c r="G93" s="1"/>
    </row>
    <row r="94" spans="1:8" x14ac:dyDescent="0.2">
      <c r="A94">
        <v>1994</v>
      </c>
      <c r="B94">
        <v>85</v>
      </c>
      <c r="C94" t="s">
        <v>4</v>
      </c>
      <c r="D94">
        <v>4</v>
      </c>
      <c r="F94" s="1"/>
      <c r="G94" s="1"/>
    </row>
    <row r="95" spans="1:8" x14ac:dyDescent="0.2">
      <c r="A95">
        <v>1995</v>
      </c>
      <c r="B95">
        <v>0</v>
      </c>
      <c r="C95" t="s">
        <v>4</v>
      </c>
      <c r="D95">
        <v>3</v>
      </c>
      <c r="F95" s="1"/>
      <c r="G95" s="1"/>
    </row>
    <row r="96" spans="1:8" x14ac:dyDescent="0.2">
      <c r="A96">
        <v>1995</v>
      </c>
      <c r="B96">
        <v>1</v>
      </c>
      <c r="C96" t="s">
        <v>4</v>
      </c>
      <c r="D96">
        <v>1</v>
      </c>
      <c r="F96" s="1"/>
      <c r="G96" s="1"/>
      <c r="H96" s="1"/>
    </row>
    <row r="97" spans="1:7" x14ac:dyDescent="0.2">
      <c r="A97">
        <v>1995</v>
      </c>
      <c r="B97">
        <v>5</v>
      </c>
      <c r="C97" t="s">
        <v>4</v>
      </c>
      <c r="D97">
        <v>1</v>
      </c>
    </row>
    <row r="98" spans="1:7" x14ac:dyDescent="0.2">
      <c r="A98">
        <v>1995</v>
      </c>
      <c r="B98">
        <v>10</v>
      </c>
      <c r="C98" t="s">
        <v>4</v>
      </c>
      <c r="D98">
        <v>1</v>
      </c>
      <c r="F98" s="1"/>
      <c r="G98" s="1"/>
    </row>
    <row r="99" spans="1:7" x14ac:dyDescent="0.2">
      <c r="A99">
        <v>1995</v>
      </c>
      <c r="B99">
        <v>15</v>
      </c>
      <c r="C99" t="s">
        <v>4</v>
      </c>
      <c r="D99">
        <v>29</v>
      </c>
    </row>
    <row r="100" spans="1:7" x14ac:dyDescent="0.2">
      <c r="A100">
        <v>1995</v>
      </c>
      <c r="B100">
        <v>20</v>
      </c>
      <c r="C100" t="s">
        <v>4</v>
      </c>
      <c r="D100">
        <v>65</v>
      </c>
      <c r="F100" s="1"/>
      <c r="G100" s="1"/>
    </row>
    <row r="101" spans="1:7" x14ac:dyDescent="0.2">
      <c r="A101">
        <v>1995</v>
      </c>
      <c r="B101">
        <v>25</v>
      </c>
      <c r="C101" t="s">
        <v>4</v>
      </c>
      <c r="D101">
        <v>40</v>
      </c>
      <c r="F101" s="1"/>
      <c r="G101" s="1"/>
    </row>
    <row r="102" spans="1:7" x14ac:dyDescent="0.2">
      <c r="A102">
        <v>1995</v>
      </c>
      <c r="B102">
        <v>30</v>
      </c>
      <c r="C102" t="s">
        <v>4</v>
      </c>
      <c r="D102">
        <v>30</v>
      </c>
      <c r="F102" s="1"/>
      <c r="G102" s="1"/>
    </row>
    <row r="103" spans="1:7" x14ac:dyDescent="0.2">
      <c r="A103">
        <v>1995</v>
      </c>
      <c r="B103">
        <v>35</v>
      </c>
      <c r="C103" t="s">
        <v>4</v>
      </c>
      <c r="D103">
        <v>21</v>
      </c>
      <c r="F103" s="1"/>
      <c r="G103" s="1"/>
    </row>
    <row r="104" spans="1:7" x14ac:dyDescent="0.2">
      <c r="A104">
        <v>1995</v>
      </c>
      <c r="B104">
        <v>40</v>
      </c>
      <c r="C104" t="s">
        <v>4</v>
      </c>
      <c r="D104">
        <v>17</v>
      </c>
      <c r="F104" s="1"/>
      <c r="G104" s="1"/>
    </row>
    <row r="105" spans="1:7" x14ac:dyDescent="0.2">
      <c r="A105">
        <v>1995</v>
      </c>
      <c r="B105">
        <v>45</v>
      </c>
      <c r="C105" t="s">
        <v>4</v>
      </c>
      <c r="D105">
        <v>9</v>
      </c>
      <c r="F105" s="1"/>
      <c r="G105" s="1"/>
    </row>
    <row r="106" spans="1:7" x14ac:dyDescent="0.2">
      <c r="A106">
        <v>1995</v>
      </c>
      <c r="B106">
        <v>50</v>
      </c>
      <c r="C106" t="s">
        <v>4</v>
      </c>
      <c r="D106">
        <v>14</v>
      </c>
      <c r="F106" s="1"/>
      <c r="G106" s="1"/>
    </row>
    <row r="107" spans="1:7" x14ac:dyDescent="0.2">
      <c r="A107">
        <v>1995</v>
      </c>
      <c r="B107">
        <v>55</v>
      </c>
      <c r="C107" t="s">
        <v>4</v>
      </c>
      <c r="D107">
        <v>11</v>
      </c>
      <c r="F107" s="1"/>
      <c r="G107" s="1"/>
    </row>
    <row r="108" spans="1:7" x14ac:dyDescent="0.2">
      <c r="A108">
        <v>1995</v>
      </c>
      <c r="B108">
        <v>60</v>
      </c>
      <c r="C108" t="s">
        <v>4</v>
      </c>
      <c r="D108">
        <v>7</v>
      </c>
    </row>
    <row r="109" spans="1:7" x14ac:dyDescent="0.2">
      <c r="A109">
        <v>1995</v>
      </c>
      <c r="B109">
        <v>65</v>
      </c>
      <c r="C109" t="s">
        <v>4</v>
      </c>
      <c r="D109">
        <v>4</v>
      </c>
      <c r="F109" s="1"/>
      <c r="G109" s="1"/>
    </row>
    <row r="110" spans="1:7" x14ac:dyDescent="0.2">
      <c r="A110">
        <v>1995</v>
      </c>
      <c r="B110">
        <v>70</v>
      </c>
      <c r="C110" t="s">
        <v>4</v>
      </c>
      <c r="D110">
        <v>3</v>
      </c>
      <c r="F110" s="1"/>
      <c r="G110" s="1"/>
    </row>
    <row r="111" spans="1:7" x14ac:dyDescent="0.2">
      <c r="A111">
        <v>1995</v>
      </c>
      <c r="B111">
        <v>75</v>
      </c>
      <c r="C111" t="s">
        <v>4</v>
      </c>
      <c r="D111">
        <v>2</v>
      </c>
    </row>
    <row r="112" spans="1:7" x14ac:dyDescent="0.2">
      <c r="A112">
        <v>1995</v>
      </c>
      <c r="B112">
        <v>80</v>
      </c>
      <c r="C112" t="s">
        <v>4</v>
      </c>
      <c r="D112">
        <v>1</v>
      </c>
    </row>
    <row r="113" spans="1:8" x14ac:dyDescent="0.2">
      <c r="A113">
        <v>1995</v>
      </c>
      <c r="B113">
        <v>85</v>
      </c>
      <c r="C113" t="s">
        <v>4</v>
      </c>
      <c r="D113">
        <v>1</v>
      </c>
    </row>
    <row r="114" spans="1:8" x14ac:dyDescent="0.2">
      <c r="A114">
        <v>1996</v>
      </c>
      <c r="B114">
        <v>0</v>
      </c>
      <c r="C114" t="s">
        <v>4</v>
      </c>
      <c r="D114">
        <v>3</v>
      </c>
      <c r="F114" s="1"/>
      <c r="G114" s="1"/>
      <c r="H114" s="1"/>
    </row>
    <row r="115" spans="1:8" x14ac:dyDescent="0.2">
      <c r="A115">
        <v>1996</v>
      </c>
      <c r="B115">
        <v>1</v>
      </c>
      <c r="C115" t="s">
        <v>4</v>
      </c>
      <c r="D115">
        <v>3</v>
      </c>
      <c r="F115" s="1"/>
      <c r="G115" s="1"/>
    </row>
    <row r="116" spans="1:8" x14ac:dyDescent="0.2">
      <c r="A116">
        <v>1996</v>
      </c>
      <c r="B116">
        <v>5</v>
      </c>
      <c r="C116" t="s">
        <v>4</v>
      </c>
      <c r="D116">
        <v>1</v>
      </c>
      <c r="F116" s="1"/>
      <c r="G116" s="1"/>
    </row>
    <row r="117" spans="1:8" x14ac:dyDescent="0.2">
      <c r="A117">
        <v>1996</v>
      </c>
      <c r="B117">
        <v>10</v>
      </c>
      <c r="C117" t="s">
        <v>4</v>
      </c>
      <c r="D117">
        <v>1</v>
      </c>
      <c r="F117" s="1"/>
      <c r="G117" s="1"/>
    </row>
    <row r="118" spans="1:8" x14ac:dyDescent="0.2">
      <c r="A118">
        <v>1996</v>
      </c>
      <c r="B118">
        <v>15</v>
      </c>
      <c r="C118" t="s">
        <v>4</v>
      </c>
      <c r="D118">
        <v>39</v>
      </c>
    </row>
    <row r="119" spans="1:8" x14ac:dyDescent="0.2">
      <c r="A119">
        <v>1996</v>
      </c>
      <c r="B119">
        <v>20</v>
      </c>
      <c r="C119" t="s">
        <v>4</v>
      </c>
      <c r="D119">
        <v>50</v>
      </c>
    </row>
    <row r="120" spans="1:8" x14ac:dyDescent="0.2">
      <c r="A120">
        <v>1996</v>
      </c>
      <c r="B120">
        <v>25</v>
      </c>
      <c r="C120" t="s">
        <v>4</v>
      </c>
      <c r="D120">
        <v>35</v>
      </c>
    </row>
    <row r="121" spans="1:8" x14ac:dyDescent="0.2">
      <c r="A121">
        <v>1996</v>
      </c>
      <c r="B121">
        <v>30</v>
      </c>
      <c r="C121" t="s">
        <v>4</v>
      </c>
      <c r="D121">
        <v>34</v>
      </c>
    </row>
    <row r="122" spans="1:8" x14ac:dyDescent="0.2">
      <c r="A122">
        <v>1996</v>
      </c>
      <c r="B122">
        <v>35</v>
      </c>
      <c r="C122" t="s">
        <v>4</v>
      </c>
      <c r="D122">
        <v>25</v>
      </c>
    </row>
    <row r="123" spans="1:8" x14ac:dyDescent="0.2">
      <c r="A123">
        <v>1996</v>
      </c>
      <c r="B123">
        <v>40</v>
      </c>
      <c r="C123" t="s">
        <v>4</v>
      </c>
      <c r="D123">
        <v>18</v>
      </c>
    </row>
    <row r="124" spans="1:8" x14ac:dyDescent="0.2">
      <c r="A124">
        <v>1996</v>
      </c>
      <c r="B124">
        <v>45</v>
      </c>
      <c r="C124" t="s">
        <v>4</v>
      </c>
      <c r="D124">
        <v>20</v>
      </c>
    </row>
    <row r="125" spans="1:8" x14ac:dyDescent="0.2">
      <c r="A125">
        <v>1996</v>
      </c>
      <c r="B125">
        <v>50</v>
      </c>
      <c r="C125" t="s">
        <v>4</v>
      </c>
      <c r="D125">
        <v>9</v>
      </c>
      <c r="F125" s="1"/>
      <c r="G125" s="1"/>
    </row>
    <row r="126" spans="1:8" x14ac:dyDescent="0.2">
      <c r="A126">
        <v>1996</v>
      </c>
      <c r="B126">
        <v>55</v>
      </c>
      <c r="C126" t="s">
        <v>4</v>
      </c>
      <c r="D126">
        <v>9</v>
      </c>
    </row>
    <row r="127" spans="1:8" x14ac:dyDescent="0.2">
      <c r="A127">
        <v>1996</v>
      </c>
      <c r="B127">
        <v>60</v>
      </c>
      <c r="C127" t="s">
        <v>4</v>
      </c>
      <c r="D127">
        <v>8</v>
      </c>
    </row>
    <row r="128" spans="1:8" x14ac:dyDescent="0.2">
      <c r="A128">
        <v>1996</v>
      </c>
      <c r="B128">
        <v>65</v>
      </c>
      <c r="C128" t="s">
        <v>4</v>
      </c>
      <c r="D128">
        <v>7</v>
      </c>
      <c r="F128" s="1"/>
      <c r="G128" s="1"/>
    </row>
    <row r="129" spans="1:8" x14ac:dyDescent="0.2">
      <c r="A129">
        <v>1996</v>
      </c>
      <c r="B129">
        <v>70</v>
      </c>
      <c r="C129" t="s">
        <v>4</v>
      </c>
      <c r="D129">
        <v>5</v>
      </c>
      <c r="F129" s="1"/>
      <c r="G129" s="1"/>
    </row>
    <row r="130" spans="1:8" x14ac:dyDescent="0.2">
      <c r="A130">
        <v>1996</v>
      </c>
      <c r="B130">
        <v>75</v>
      </c>
      <c r="C130" t="s">
        <v>4</v>
      </c>
      <c r="D130">
        <v>1</v>
      </c>
    </row>
    <row r="131" spans="1:8" x14ac:dyDescent="0.2">
      <c r="A131">
        <v>1996</v>
      </c>
      <c r="B131">
        <v>80</v>
      </c>
      <c r="C131" t="s">
        <v>4</v>
      </c>
      <c r="D131">
        <v>1</v>
      </c>
      <c r="F131" s="1"/>
      <c r="G131" s="1"/>
    </row>
    <row r="132" spans="1:8" x14ac:dyDescent="0.2">
      <c r="A132">
        <v>1996</v>
      </c>
      <c r="B132">
        <v>85</v>
      </c>
      <c r="C132" t="s">
        <v>4</v>
      </c>
      <c r="D132">
        <v>1</v>
      </c>
      <c r="F132" s="1"/>
      <c r="G132" s="1"/>
    </row>
    <row r="133" spans="1:8" x14ac:dyDescent="0.2">
      <c r="A133">
        <v>1997</v>
      </c>
      <c r="B133">
        <v>0</v>
      </c>
      <c r="C133" t="s">
        <v>4</v>
      </c>
      <c r="D133">
        <v>2</v>
      </c>
      <c r="F133" s="1"/>
      <c r="G133" s="1"/>
      <c r="H133" s="1"/>
    </row>
    <row r="134" spans="1:8" x14ac:dyDescent="0.2">
      <c r="A134">
        <v>1997</v>
      </c>
      <c r="B134">
        <v>5</v>
      </c>
      <c r="C134" t="s">
        <v>4</v>
      </c>
      <c r="D134">
        <v>2</v>
      </c>
      <c r="F134" s="1"/>
      <c r="G134" s="1"/>
    </row>
    <row r="135" spans="1:8" x14ac:dyDescent="0.2">
      <c r="A135">
        <v>1997</v>
      </c>
      <c r="B135">
        <v>10</v>
      </c>
      <c r="C135" t="s">
        <v>4</v>
      </c>
      <c r="D135">
        <v>5</v>
      </c>
    </row>
    <row r="136" spans="1:8" x14ac:dyDescent="0.2">
      <c r="A136">
        <v>1997</v>
      </c>
      <c r="B136">
        <v>15</v>
      </c>
      <c r="C136" t="s">
        <v>4</v>
      </c>
      <c r="D136">
        <v>35</v>
      </c>
      <c r="F136" s="1"/>
      <c r="G136" s="1"/>
    </row>
    <row r="137" spans="1:8" x14ac:dyDescent="0.2">
      <c r="A137">
        <v>1997</v>
      </c>
      <c r="B137">
        <v>20</v>
      </c>
      <c r="C137" t="s">
        <v>4</v>
      </c>
      <c r="D137">
        <v>64</v>
      </c>
      <c r="F137" s="1"/>
      <c r="G137" s="1"/>
    </row>
    <row r="138" spans="1:8" x14ac:dyDescent="0.2">
      <c r="A138">
        <v>1997</v>
      </c>
      <c r="B138">
        <v>25</v>
      </c>
      <c r="C138" t="s">
        <v>4</v>
      </c>
      <c r="D138">
        <v>34</v>
      </c>
      <c r="F138" s="1"/>
      <c r="G138" s="1"/>
    </row>
    <row r="139" spans="1:8" x14ac:dyDescent="0.2">
      <c r="A139">
        <v>1997</v>
      </c>
      <c r="B139">
        <v>30</v>
      </c>
      <c r="C139" t="s">
        <v>4</v>
      </c>
      <c r="D139">
        <v>23</v>
      </c>
      <c r="F139" s="1"/>
      <c r="G139" s="1"/>
    </row>
    <row r="140" spans="1:8" x14ac:dyDescent="0.2">
      <c r="A140">
        <v>1997</v>
      </c>
      <c r="B140">
        <v>35</v>
      </c>
      <c r="C140" t="s">
        <v>4</v>
      </c>
      <c r="D140">
        <v>31</v>
      </c>
      <c r="F140" s="1"/>
      <c r="G140" s="1"/>
    </row>
    <row r="141" spans="1:8" x14ac:dyDescent="0.2">
      <c r="A141">
        <v>1997</v>
      </c>
      <c r="B141">
        <v>40</v>
      </c>
      <c r="C141" t="s">
        <v>4</v>
      </c>
      <c r="D141">
        <v>17</v>
      </c>
      <c r="F141" s="1"/>
      <c r="G141" s="1"/>
    </row>
    <row r="142" spans="1:8" x14ac:dyDescent="0.2">
      <c r="A142">
        <v>1997</v>
      </c>
      <c r="B142">
        <v>45</v>
      </c>
      <c r="C142" t="s">
        <v>4</v>
      </c>
      <c r="D142">
        <v>21</v>
      </c>
      <c r="F142" s="1"/>
      <c r="G142" s="1"/>
    </row>
    <row r="143" spans="1:8" x14ac:dyDescent="0.2">
      <c r="A143">
        <v>1997</v>
      </c>
      <c r="B143">
        <v>50</v>
      </c>
      <c r="C143" t="s">
        <v>4</v>
      </c>
      <c r="D143">
        <v>10</v>
      </c>
      <c r="F143" s="1"/>
      <c r="G143" s="1"/>
    </row>
    <row r="144" spans="1:8" x14ac:dyDescent="0.2">
      <c r="A144">
        <v>1997</v>
      </c>
      <c r="B144">
        <v>55</v>
      </c>
      <c r="C144" t="s">
        <v>4</v>
      </c>
      <c r="D144">
        <v>9</v>
      </c>
    </row>
    <row r="145" spans="1:8" x14ac:dyDescent="0.2">
      <c r="A145">
        <v>1997</v>
      </c>
      <c r="B145">
        <v>60</v>
      </c>
      <c r="C145" t="s">
        <v>4</v>
      </c>
      <c r="D145">
        <v>10</v>
      </c>
      <c r="F145" s="1"/>
      <c r="G145" s="1"/>
    </row>
    <row r="146" spans="1:8" x14ac:dyDescent="0.2">
      <c r="A146">
        <v>1997</v>
      </c>
      <c r="B146">
        <v>65</v>
      </c>
      <c r="C146" t="s">
        <v>4</v>
      </c>
      <c r="D146">
        <v>7</v>
      </c>
      <c r="F146" s="1"/>
      <c r="G146" s="1"/>
    </row>
    <row r="147" spans="1:8" x14ac:dyDescent="0.2">
      <c r="A147">
        <v>1997</v>
      </c>
      <c r="B147">
        <v>70</v>
      </c>
      <c r="C147" t="s">
        <v>4</v>
      </c>
      <c r="D147">
        <v>2</v>
      </c>
      <c r="F147" s="1"/>
      <c r="G147" s="1"/>
    </row>
    <row r="148" spans="1:8" x14ac:dyDescent="0.2">
      <c r="A148">
        <v>1997</v>
      </c>
      <c r="B148">
        <v>75</v>
      </c>
      <c r="C148" t="s">
        <v>4</v>
      </c>
      <c r="D148">
        <v>3</v>
      </c>
      <c r="F148" s="1"/>
      <c r="G148" s="1"/>
    </row>
    <row r="149" spans="1:8" x14ac:dyDescent="0.2">
      <c r="A149">
        <v>1997</v>
      </c>
      <c r="B149">
        <v>85</v>
      </c>
      <c r="C149" t="s">
        <v>4</v>
      </c>
      <c r="D149">
        <v>1</v>
      </c>
      <c r="F149" s="1"/>
      <c r="G149" s="1"/>
    </row>
    <row r="150" spans="1:8" x14ac:dyDescent="0.2">
      <c r="A150">
        <v>1998</v>
      </c>
      <c r="B150">
        <v>0</v>
      </c>
      <c r="C150" t="s">
        <v>4</v>
      </c>
      <c r="D150">
        <v>2</v>
      </c>
      <c r="F150" s="1"/>
      <c r="G150" s="1"/>
    </row>
    <row r="151" spans="1:8" x14ac:dyDescent="0.2">
      <c r="A151">
        <v>1998</v>
      </c>
      <c r="B151">
        <v>1</v>
      </c>
      <c r="C151" t="s">
        <v>4</v>
      </c>
      <c r="D151">
        <v>6</v>
      </c>
    </row>
    <row r="152" spans="1:8" x14ac:dyDescent="0.2">
      <c r="A152">
        <v>1998</v>
      </c>
      <c r="B152">
        <v>5</v>
      </c>
      <c r="C152" t="s">
        <v>4</v>
      </c>
      <c r="D152">
        <v>3</v>
      </c>
      <c r="F152" s="1"/>
      <c r="G152" s="1"/>
      <c r="H152" s="1"/>
    </row>
    <row r="153" spans="1:8" x14ac:dyDescent="0.2">
      <c r="A153">
        <v>1998</v>
      </c>
      <c r="B153">
        <v>10</v>
      </c>
      <c r="C153" t="s">
        <v>4</v>
      </c>
      <c r="D153">
        <v>6</v>
      </c>
      <c r="F153" s="1"/>
      <c r="G153" s="1"/>
    </row>
    <row r="154" spans="1:8" x14ac:dyDescent="0.2">
      <c r="A154">
        <v>1998</v>
      </c>
      <c r="B154">
        <v>15</v>
      </c>
      <c r="C154" t="s">
        <v>4</v>
      </c>
      <c r="D154">
        <v>37</v>
      </c>
      <c r="F154" s="1"/>
      <c r="G154" s="1"/>
    </row>
    <row r="155" spans="1:8" x14ac:dyDescent="0.2">
      <c r="A155">
        <v>1998</v>
      </c>
      <c r="B155">
        <v>20</v>
      </c>
      <c r="C155" t="s">
        <v>4</v>
      </c>
      <c r="D155">
        <v>39</v>
      </c>
    </row>
    <row r="156" spans="1:8" x14ac:dyDescent="0.2">
      <c r="A156">
        <v>1998</v>
      </c>
      <c r="B156">
        <v>25</v>
      </c>
      <c r="C156" t="s">
        <v>4</v>
      </c>
      <c r="D156">
        <v>48</v>
      </c>
      <c r="F156" s="1"/>
    </row>
    <row r="157" spans="1:8" x14ac:dyDescent="0.2">
      <c r="A157">
        <v>1998</v>
      </c>
      <c r="B157">
        <v>30</v>
      </c>
      <c r="C157" t="s">
        <v>4</v>
      </c>
      <c r="D157">
        <v>31</v>
      </c>
    </row>
    <row r="158" spans="1:8" x14ac:dyDescent="0.2">
      <c r="A158">
        <v>1998</v>
      </c>
      <c r="B158">
        <v>35</v>
      </c>
      <c r="C158" t="s">
        <v>4</v>
      </c>
      <c r="D158">
        <v>20</v>
      </c>
    </row>
    <row r="159" spans="1:8" x14ac:dyDescent="0.2">
      <c r="A159">
        <v>1998</v>
      </c>
      <c r="B159">
        <v>40</v>
      </c>
      <c r="C159" t="s">
        <v>4</v>
      </c>
      <c r="D159">
        <v>16</v>
      </c>
    </row>
    <row r="160" spans="1:8" x14ac:dyDescent="0.2">
      <c r="A160">
        <v>1998</v>
      </c>
      <c r="B160">
        <v>45</v>
      </c>
      <c r="C160" t="s">
        <v>4</v>
      </c>
      <c r="D160">
        <v>19</v>
      </c>
    </row>
    <row r="161" spans="1:8" x14ac:dyDescent="0.2">
      <c r="A161">
        <v>1998</v>
      </c>
      <c r="B161">
        <v>50</v>
      </c>
      <c r="C161" t="s">
        <v>4</v>
      </c>
      <c r="D161">
        <v>12</v>
      </c>
    </row>
    <row r="162" spans="1:8" x14ac:dyDescent="0.2">
      <c r="A162">
        <v>1998</v>
      </c>
      <c r="B162">
        <v>55</v>
      </c>
      <c r="C162" t="s">
        <v>4</v>
      </c>
      <c r="D162">
        <v>13</v>
      </c>
    </row>
    <row r="163" spans="1:8" x14ac:dyDescent="0.2">
      <c r="A163">
        <v>1998</v>
      </c>
      <c r="B163">
        <v>60</v>
      </c>
      <c r="C163" t="s">
        <v>4</v>
      </c>
      <c r="D163">
        <v>14</v>
      </c>
      <c r="F163" s="1"/>
      <c r="G163" s="1"/>
    </row>
    <row r="164" spans="1:8" x14ac:dyDescent="0.2">
      <c r="A164">
        <v>1998</v>
      </c>
      <c r="B164">
        <v>65</v>
      </c>
      <c r="C164" t="s">
        <v>4</v>
      </c>
      <c r="D164">
        <v>6</v>
      </c>
      <c r="F164" s="1"/>
      <c r="G164" s="1"/>
    </row>
    <row r="165" spans="1:8" x14ac:dyDescent="0.2">
      <c r="A165">
        <v>1998</v>
      </c>
      <c r="B165">
        <v>70</v>
      </c>
      <c r="C165" t="s">
        <v>4</v>
      </c>
      <c r="D165">
        <v>1</v>
      </c>
      <c r="F165" s="1"/>
      <c r="G165" s="1"/>
    </row>
    <row r="166" spans="1:8" x14ac:dyDescent="0.2">
      <c r="A166">
        <v>1998</v>
      </c>
      <c r="B166">
        <v>75</v>
      </c>
      <c r="C166" t="s">
        <v>4</v>
      </c>
      <c r="D166">
        <v>2</v>
      </c>
      <c r="F166" s="1"/>
      <c r="G166" s="1"/>
    </row>
    <row r="167" spans="1:8" x14ac:dyDescent="0.2">
      <c r="A167">
        <v>1998</v>
      </c>
      <c r="B167">
        <v>80</v>
      </c>
      <c r="C167" t="s">
        <v>4</v>
      </c>
      <c r="D167">
        <v>3</v>
      </c>
      <c r="F167" s="1"/>
      <c r="G167" s="1"/>
    </row>
    <row r="168" spans="1:8" x14ac:dyDescent="0.2">
      <c r="A168">
        <v>1998</v>
      </c>
      <c r="B168">
        <v>85</v>
      </c>
      <c r="C168" t="s">
        <v>4</v>
      </c>
      <c r="D168">
        <v>2</v>
      </c>
      <c r="F168" s="1"/>
      <c r="G168" s="1"/>
    </row>
    <row r="169" spans="1:8" x14ac:dyDescent="0.2">
      <c r="A169">
        <v>1999</v>
      </c>
      <c r="B169">
        <v>0</v>
      </c>
      <c r="C169" t="s">
        <v>4</v>
      </c>
      <c r="D169">
        <v>4</v>
      </c>
      <c r="F169" s="1"/>
      <c r="G169" s="1"/>
    </row>
    <row r="170" spans="1:8" x14ac:dyDescent="0.2">
      <c r="A170">
        <v>1999</v>
      </c>
      <c r="B170">
        <v>1</v>
      </c>
      <c r="C170" t="s">
        <v>4</v>
      </c>
      <c r="D170">
        <v>0</v>
      </c>
      <c r="F170" s="1"/>
      <c r="G170" s="1"/>
      <c r="H170" s="1"/>
    </row>
    <row r="171" spans="1:8" x14ac:dyDescent="0.2">
      <c r="A171">
        <v>1999</v>
      </c>
      <c r="B171">
        <v>5</v>
      </c>
      <c r="C171" t="s">
        <v>4</v>
      </c>
      <c r="D171">
        <v>0</v>
      </c>
    </row>
    <row r="172" spans="1:8" x14ac:dyDescent="0.2">
      <c r="A172">
        <v>1999</v>
      </c>
      <c r="B172">
        <v>10</v>
      </c>
      <c r="C172" t="s">
        <v>4</v>
      </c>
      <c r="D172">
        <v>5</v>
      </c>
    </row>
    <row r="173" spans="1:8" x14ac:dyDescent="0.2">
      <c r="A173">
        <v>1999</v>
      </c>
      <c r="B173">
        <v>15</v>
      </c>
      <c r="C173" t="s">
        <v>4</v>
      </c>
      <c r="D173">
        <v>29</v>
      </c>
      <c r="F173" s="1"/>
      <c r="G173" s="1"/>
    </row>
    <row r="174" spans="1:8" x14ac:dyDescent="0.2">
      <c r="A174">
        <v>1999</v>
      </c>
      <c r="B174">
        <v>20</v>
      </c>
      <c r="C174" t="s">
        <v>4</v>
      </c>
      <c r="D174">
        <v>30</v>
      </c>
      <c r="F174" s="1"/>
      <c r="G174" s="1"/>
    </row>
    <row r="175" spans="1:8" x14ac:dyDescent="0.2">
      <c r="A175">
        <v>1999</v>
      </c>
      <c r="B175">
        <v>25</v>
      </c>
      <c r="C175" t="s">
        <v>4</v>
      </c>
      <c r="D175">
        <v>31</v>
      </c>
      <c r="F175" s="1"/>
      <c r="G175" s="1"/>
    </row>
    <row r="176" spans="1:8" x14ac:dyDescent="0.2">
      <c r="A176">
        <v>1999</v>
      </c>
      <c r="B176">
        <v>30</v>
      </c>
      <c r="C176" t="s">
        <v>4</v>
      </c>
      <c r="D176">
        <v>30</v>
      </c>
      <c r="F176" s="1"/>
      <c r="G176" s="1"/>
    </row>
    <row r="177" spans="1:8" x14ac:dyDescent="0.2">
      <c r="A177">
        <v>1999</v>
      </c>
      <c r="B177">
        <v>35</v>
      </c>
      <c r="C177" t="s">
        <v>4</v>
      </c>
      <c r="D177">
        <v>15</v>
      </c>
      <c r="F177" s="1"/>
      <c r="G177" s="1"/>
    </row>
    <row r="178" spans="1:8" x14ac:dyDescent="0.2">
      <c r="A178">
        <v>1999</v>
      </c>
      <c r="B178">
        <v>40</v>
      </c>
      <c r="C178" t="s">
        <v>4</v>
      </c>
      <c r="D178">
        <v>10</v>
      </c>
      <c r="F178" s="1"/>
      <c r="G178" s="1"/>
    </row>
    <row r="179" spans="1:8" x14ac:dyDescent="0.2">
      <c r="A179">
        <v>1999</v>
      </c>
      <c r="B179">
        <v>45</v>
      </c>
      <c r="C179" t="s">
        <v>4</v>
      </c>
      <c r="D179">
        <v>18</v>
      </c>
      <c r="F179" s="1"/>
      <c r="G179" s="1"/>
    </row>
    <row r="180" spans="1:8" x14ac:dyDescent="0.2">
      <c r="A180">
        <v>1999</v>
      </c>
      <c r="B180">
        <v>50</v>
      </c>
      <c r="C180" t="s">
        <v>4</v>
      </c>
      <c r="D180">
        <v>6</v>
      </c>
    </row>
    <row r="181" spans="1:8" x14ac:dyDescent="0.2">
      <c r="A181">
        <v>1999</v>
      </c>
      <c r="B181">
        <v>55</v>
      </c>
      <c r="C181" t="s">
        <v>4</v>
      </c>
      <c r="D181">
        <v>7</v>
      </c>
    </row>
    <row r="182" spans="1:8" x14ac:dyDescent="0.2">
      <c r="A182">
        <v>1999</v>
      </c>
      <c r="B182">
        <v>60</v>
      </c>
      <c r="C182" t="s">
        <v>4</v>
      </c>
      <c r="D182">
        <v>8</v>
      </c>
      <c r="F182" s="1"/>
      <c r="G182" s="1"/>
    </row>
    <row r="183" spans="1:8" x14ac:dyDescent="0.2">
      <c r="A183">
        <v>1999</v>
      </c>
      <c r="B183">
        <v>65</v>
      </c>
      <c r="C183" t="s">
        <v>4</v>
      </c>
      <c r="D183">
        <v>6</v>
      </c>
    </row>
    <row r="184" spans="1:8" x14ac:dyDescent="0.2">
      <c r="A184">
        <v>1999</v>
      </c>
      <c r="B184">
        <v>70</v>
      </c>
      <c r="C184" t="s">
        <v>4</v>
      </c>
      <c r="D184">
        <v>3</v>
      </c>
    </row>
    <row r="185" spans="1:8" x14ac:dyDescent="0.2">
      <c r="A185">
        <v>1999</v>
      </c>
      <c r="B185">
        <v>75</v>
      </c>
      <c r="C185" t="s">
        <v>4</v>
      </c>
      <c r="D185">
        <v>2</v>
      </c>
      <c r="F185" s="1"/>
      <c r="G185" s="1"/>
    </row>
    <row r="186" spans="1:8" x14ac:dyDescent="0.2">
      <c r="A186">
        <v>1999</v>
      </c>
      <c r="B186">
        <v>85</v>
      </c>
      <c r="C186" t="s">
        <v>4</v>
      </c>
      <c r="D186">
        <v>4</v>
      </c>
    </row>
    <row r="187" spans="1:8" x14ac:dyDescent="0.2">
      <c r="A187">
        <v>2000</v>
      </c>
      <c r="B187">
        <v>0</v>
      </c>
      <c r="C187" t="s">
        <v>4</v>
      </c>
      <c r="D187">
        <v>4</v>
      </c>
      <c r="F187" s="1"/>
      <c r="G187" s="1"/>
    </row>
    <row r="188" spans="1:8" x14ac:dyDescent="0.2">
      <c r="A188">
        <v>2000</v>
      </c>
      <c r="B188">
        <v>1</v>
      </c>
      <c r="C188" t="s">
        <v>4</v>
      </c>
      <c r="D188">
        <v>0</v>
      </c>
      <c r="F188" s="1"/>
      <c r="G188" s="1"/>
      <c r="H188" s="1"/>
    </row>
    <row r="189" spans="1:8" x14ac:dyDescent="0.2">
      <c r="A189">
        <v>2000</v>
      </c>
      <c r="B189">
        <v>5</v>
      </c>
      <c r="C189" t="s">
        <v>4</v>
      </c>
      <c r="D189">
        <v>2</v>
      </c>
      <c r="F189" s="1"/>
      <c r="G189" s="1"/>
    </row>
    <row r="190" spans="1:8" x14ac:dyDescent="0.2">
      <c r="A190">
        <v>2000</v>
      </c>
      <c r="B190">
        <v>10</v>
      </c>
      <c r="C190" t="s">
        <v>4</v>
      </c>
      <c r="D190">
        <v>7</v>
      </c>
      <c r="F190" s="1"/>
      <c r="G190" s="1"/>
    </row>
    <row r="191" spans="1:8" x14ac:dyDescent="0.2">
      <c r="A191">
        <v>2000</v>
      </c>
      <c r="B191">
        <v>15</v>
      </c>
      <c r="C191" t="s">
        <v>4</v>
      </c>
      <c r="D191">
        <v>31</v>
      </c>
      <c r="F191" s="1"/>
      <c r="G191" s="1"/>
    </row>
    <row r="192" spans="1:8" x14ac:dyDescent="0.2">
      <c r="A192">
        <v>2000</v>
      </c>
      <c r="B192">
        <v>20</v>
      </c>
      <c r="C192" t="s">
        <v>4</v>
      </c>
      <c r="D192">
        <v>25</v>
      </c>
    </row>
    <row r="193" spans="1:8" x14ac:dyDescent="0.2">
      <c r="A193">
        <v>2000</v>
      </c>
      <c r="B193">
        <v>25</v>
      </c>
      <c r="C193" t="s">
        <v>4</v>
      </c>
      <c r="D193">
        <v>42</v>
      </c>
    </row>
    <row r="194" spans="1:8" x14ac:dyDescent="0.2">
      <c r="A194">
        <v>2000</v>
      </c>
      <c r="B194">
        <v>30</v>
      </c>
      <c r="C194" t="s">
        <v>4</v>
      </c>
      <c r="D194">
        <v>15</v>
      </c>
      <c r="F194" s="1"/>
    </row>
    <row r="195" spans="1:8" x14ac:dyDescent="0.2">
      <c r="A195">
        <v>2000</v>
      </c>
      <c r="B195">
        <v>35</v>
      </c>
      <c r="C195" t="s">
        <v>4</v>
      </c>
      <c r="D195">
        <v>21</v>
      </c>
      <c r="F195" s="1"/>
    </row>
    <row r="196" spans="1:8" x14ac:dyDescent="0.2">
      <c r="A196">
        <v>2000</v>
      </c>
      <c r="B196">
        <v>40</v>
      </c>
      <c r="C196" t="s">
        <v>4</v>
      </c>
      <c r="D196">
        <v>10</v>
      </c>
    </row>
    <row r="197" spans="1:8" x14ac:dyDescent="0.2">
      <c r="A197">
        <v>2000</v>
      </c>
      <c r="B197">
        <v>45</v>
      </c>
      <c r="C197" t="s">
        <v>4</v>
      </c>
      <c r="D197">
        <v>12</v>
      </c>
    </row>
    <row r="198" spans="1:8" x14ac:dyDescent="0.2">
      <c r="A198">
        <v>2000</v>
      </c>
      <c r="B198">
        <v>50</v>
      </c>
      <c r="C198" t="s">
        <v>4</v>
      </c>
      <c r="D198">
        <v>9</v>
      </c>
      <c r="F198" s="1"/>
      <c r="G198" s="1"/>
    </row>
    <row r="199" spans="1:8" x14ac:dyDescent="0.2">
      <c r="A199">
        <v>2000</v>
      </c>
      <c r="B199">
        <v>55</v>
      </c>
      <c r="C199" t="s">
        <v>4</v>
      </c>
      <c r="D199">
        <v>10</v>
      </c>
    </row>
    <row r="200" spans="1:8" x14ac:dyDescent="0.2">
      <c r="A200">
        <v>2000</v>
      </c>
      <c r="B200">
        <v>60</v>
      </c>
      <c r="C200" t="s">
        <v>4</v>
      </c>
      <c r="D200">
        <v>6</v>
      </c>
    </row>
    <row r="201" spans="1:8" x14ac:dyDescent="0.2">
      <c r="A201">
        <v>2000</v>
      </c>
      <c r="B201">
        <v>65</v>
      </c>
      <c r="C201" t="s">
        <v>4</v>
      </c>
      <c r="D201">
        <v>3</v>
      </c>
      <c r="F201" s="1"/>
      <c r="G201" s="1"/>
    </row>
    <row r="202" spans="1:8" x14ac:dyDescent="0.2">
      <c r="A202">
        <v>2000</v>
      </c>
      <c r="B202">
        <v>70</v>
      </c>
      <c r="C202" t="s">
        <v>4</v>
      </c>
      <c r="D202">
        <v>5</v>
      </c>
      <c r="F202" s="1"/>
      <c r="G202" s="1"/>
    </row>
    <row r="203" spans="1:8" x14ac:dyDescent="0.2">
      <c r="A203">
        <v>2000</v>
      </c>
      <c r="B203">
        <v>75</v>
      </c>
      <c r="C203" t="s">
        <v>4</v>
      </c>
      <c r="D203">
        <v>3</v>
      </c>
      <c r="F203" s="1"/>
      <c r="G203" s="1"/>
    </row>
    <row r="204" spans="1:8" x14ac:dyDescent="0.2">
      <c r="A204">
        <v>2000</v>
      </c>
      <c r="B204">
        <v>80</v>
      </c>
      <c r="C204" t="s">
        <v>4</v>
      </c>
      <c r="D204">
        <v>1</v>
      </c>
      <c r="F204" s="1"/>
      <c r="G204" s="1"/>
    </row>
    <row r="205" spans="1:8" x14ac:dyDescent="0.2">
      <c r="A205">
        <v>2000</v>
      </c>
      <c r="B205">
        <v>85</v>
      </c>
      <c r="C205" t="s">
        <v>4</v>
      </c>
      <c r="D205">
        <v>3</v>
      </c>
      <c r="F205" s="1"/>
      <c r="G205" s="1"/>
    </row>
    <row r="206" spans="1:8" x14ac:dyDescent="0.2">
      <c r="A206">
        <v>2001</v>
      </c>
      <c r="B206">
        <v>0</v>
      </c>
      <c r="C206" t="s">
        <v>4</v>
      </c>
      <c r="D206">
        <v>2</v>
      </c>
      <c r="F206" s="1"/>
      <c r="G206" s="1"/>
    </row>
    <row r="207" spans="1:8" x14ac:dyDescent="0.2">
      <c r="A207">
        <v>2001</v>
      </c>
      <c r="B207">
        <v>1</v>
      </c>
      <c r="C207" t="s">
        <v>4</v>
      </c>
      <c r="D207">
        <v>2</v>
      </c>
      <c r="F207" s="1"/>
      <c r="G207" s="1"/>
      <c r="H207" s="1"/>
    </row>
    <row r="208" spans="1:8" x14ac:dyDescent="0.2">
      <c r="A208">
        <v>2001</v>
      </c>
      <c r="B208">
        <v>5</v>
      </c>
      <c r="C208" t="s">
        <v>4</v>
      </c>
      <c r="D208">
        <v>6</v>
      </c>
    </row>
    <row r="209" spans="1:7" x14ac:dyDescent="0.2">
      <c r="A209">
        <v>2001</v>
      </c>
      <c r="B209">
        <v>10</v>
      </c>
      <c r="C209" t="s">
        <v>4</v>
      </c>
      <c r="D209">
        <v>1</v>
      </c>
      <c r="F209" s="1"/>
      <c r="G209" s="1"/>
    </row>
    <row r="210" spans="1:7" x14ac:dyDescent="0.2">
      <c r="A210">
        <v>2001</v>
      </c>
      <c r="B210">
        <v>15</v>
      </c>
      <c r="C210" t="s">
        <v>4</v>
      </c>
      <c r="D210">
        <v>36</v>
      </c>
      <c r="F210" s="1"/>
      <c r="G210" s="1"/>
    </row>
    <row r="211" spans="1:7" x14ac:dyDescent="0.2">
      <c r="A211">
        <v>2001</v>
      </c>
      <c r="B211">
        <v>20</v>
      </c>
      <c r="C211" t="s">
        <v>4</v>
      </c>
      <c r="D211">
        <v>38</v>
      </c>
      <c r="F211" s="1"/>
      <c r="G211" s="1"/>
    </row>
    <row r="212" spans="1:7" x14ac:dyDescent="0.2">
      <c r="A212">
        <v>2001</v>
      </c>
      <c r="B212">
        <v>25</v>
      </c>
      <c r="C212" t="s">
        <v>4</v>
      </c>
      <c r="D212">
        <v>22</v>
      </c>
      <c r="F212" s="1"/>
      <c r="G212" s="1"/>
    </row>
    <row r="213" spans="1:7" x14ac:dyDescent="0.2">
      <c r="A213">
        <v>2001</v>
      </c>
      <c r="B213">
        <v>30</v>
      </c>
      <c r="C213" t="s">
        <v>4</v>
      </c>
      <c r="D213">
        <v>22</v>
      </c>
      <c r="F213" s="1"/>
      <c r="G213" s="1"/>
    </row>
    <row r="214" spans="1:7" x14ac:dyDescent="0.2">
      <c r="A214">
        <v>2001</v>
      </c>
      <c r="B214">
        <v>35</v>
      </c>
      <c r="C214" t="s">
        <v>4</v>
      </c>
      <c r="D214">
        <v>13</v>
      </c>
      <c r="F214" s="1"/>
      <c r="G214" s="1"/>
    </row>
    <row r="215" spans="1:7" x14ac:dyDescent="0.2">
      <c r="A215">
        <v>2001</v>
      </c>
      <c r="B215">
        <v>40</v>
      </c>
      <c r="C215" t="s">
        <v>4</v>
      </c>
      <c r="D215">
        <v>10</v>
      </c>
      <c r="F215" s="1"/>
      <c r="G215" s="1"/>
    </row>
    <row r="216" spans="1:7" x14ac:dyDescent="0.2">
      <c r="A216">
        <v>2001</v>
      </c>
      <c r="B216">
        <v>45</v>
      </c>
      <c r="C216" t="s">
        <v>4</v>
      </c>
      <c r="D216">
        <v>12</v>
      </c>
      <c r="F216" s="1"/>
      <c r="G216" s="1"/>
    </row>
    <row r="217" spans="1:7" x14ac:dyDescent="0.2">
      <c r="A217">
        <v>2001</v>
      </c>
      <c r="B217">
        <v>50</v>
      </c>
      <c r="C217" t="s">
        <v>4</v>
      </c>
      <c r="D217">
        <v>7</v>
      </c>
      <c r="F217" s="1"/>
      <c r="G217" s="1"/>
    </row>
    <row r="218" spans="1:7" x14ac:dyDescent="0.2">
      <c r="A218">
        <v>2001</v>
      </c>
      <c r="B218">
        <v>55</v>
      </c>
      <c r="C218" t="s">
        <v>4</v>
      </c>
      <c r="D218">
        <v>9</v>
      </c>
      <c r="F218" s="1"/>
      <c r="G218" s="1"/>
    </row>
    <row r="219" spans="1:7" x14ac:dyDescent="0.2">
      <c r="A219">
        <v>2001</v>
      </c>
      <c r="B219">
        <v>60</v>
      </c>
      <c r="C219" t="s">
        <v>4</v>
      </c>
      <c r="D219">
        <v>3</v>
      </c>
    </row>
    <row r="220" spans="1:7" x14ac:dyDescent="0.2">
      <c r="A220">
        <v>2001</v>
      </c>
      <c r="B220">
        <v>65</v>
      </c>
      <c r="C220" t="s">
        <v>4</v>
      </c>
      <c r="D220">
        <v>3</v>
      </c>
    </row>
    <row r="221" spans="1:7" x14ac:dyDescent="0.2">
      <c r="A221">
        <v>2001</v>
      </c>
      <c r="B221">
        <v>70</v>
      </c>
      <c r="C221" t="s">
        <v>4</v>
      </c>
      <c r="D221">
        <v>2</v>
      </c>
      <c r="F221" s="1"/>
      <c r="G221" s="1"/>
    </row>
    <row r="222" spans="1:7" x14ac:dyDescent="0.2">
      <c r="A222">
        <v>2001</v>
      </c>
      <c r="B222">
        <v>75</v>
      </c>
      <c r="C222" t="s">
        <v>4</v>
      </c>
      <c r="D222">
        <v>6</v>
      </c>
    </row>
    <row r="223" spans="1:7" x14ac:dyDescent="0.2">
      <c r="A223">
        <v>2001</v>
      </c>
      <c r="B223">
        <v>80</v>
      </c>
      <c r="C223" t="s">
        <v>4</v>
      </c>
      <c r="D223">
        <v>1</v>
      </c>
    </row>
    <row r="224" spans="1:7" x14ac:dyDescent="0.2">
      <c r="A224">
        <v>2001</v>
      </c>
      <c r="B224">
        <v>85</v>
      </c>
      <c r="C224" t="s">
        <v>4</v>
      </c>
      <c r="D224">
        <v>1</v>
      </c>
    </row>
    <row r="225" spans="1:8" x14ac:dyDescent="0.2">
      <c r="A225">
        <v>2002</v>
      </c>
      <c r="B225">
        <v>0</v>
      </c>
      <c r="C225" t="s">
        <v>4</v>
      </c>
      <c r="D225">
        <v>2</v>
      </c>
      <c r="F225" s="1"/>
      <c r="G225" s="1"/>
    </row>
    <row r="226" spans="1:8" x14ac:dyDescent="0.2">
      <c r="A226">
        <v>2002</v>
      </c>
      <c r="B226">
        <v>1</v>
      </c>
      <c r="C226" t="s">
        <v>4</v>
      </c>
      <c r="D226">
        <v>0</v>
      </c>
      <c r="F226" s="1"/>
      <c r="G226" s="1"/>
      <c r="H226" s="1"/>
    </row>
    <row r="227" spans="1:8" x14ac:dyDescent="0.2">
      <c r="A227">
        <v>2002</v>
      </c>
      <c r="B227">
        <v>5</v>
      </c>
      <c r="C227" t="s">
        <v>4</v>
      </c>
      <c r="D227">
        <v>2</v>
      </c>
      <c r="F227" s="1"/>
      <c r="G227" s="1"/>
    </row>
    <row r="228" spans="1:8" x14ac:dyDescent="0.2">
      <c r="A228">
        <v>2002</v>
      </c>
      <c r="B228">
        <v>10</v>
      </c>
      <c r="C228" t="s">
        <v>4</v>
      </c>
      <c r="D228">
        <v>4</v>
      </c>
      <c r="F228" s="1"/>
      <c r="G228" s="1"/>
    </row>
    <row r="229" spans="1:8" x14ac:dyDescent="0.2">
      <c r="A229">
        <v>2002</v>
      </c>
      <c r="B229">
        <v>15</v>
      </c>
      <c r="C229" t="s">
        <v>4</v>
      </c>
      <c r="D229">
        <v>19</v>
      </c>
      <c r="F229" s="1"/>
      <c r="G229" s="1"/>
    </row>
    <row r="230" spans="1:8" x14ac:dyDescent="0.2">
      <c r="A230">
        <v>2002</v>
      </c>
      <c r="B230">
        <v>20</v>
      </c>
      <c r="C230" t="s">
        <v>4</v>
      </c>
      <c r="D230">
        <v>31</v>
      </c>
    </row>
    <row r="231" spans="1:8" x14ac:dyDescent="0.2">
      <c r="A231">
        <v>2002</v>
      </c>
      <c r="B231">
        <v>25</v>
      </c>
      <c r="C231" t="s">
        <v>4</v>
      </c>
      <c r="D231">
        <v>22</v>
      </c>
      <c r="F231" s="1"/>
    </row>
    <row r="232" spans="1:8" x14ac:dyDescent="0.2">
      <c r="A232">
        <v>2002</v>
      </c>
      <c r="B232">
        <v>30</v>
      </c>
      <c r="C232" t="s">
        <v>4</v>
      </c>
      <c r="D232">
        <v>18</v>
      </c>
    </row>
    <row r="233" spans="1:8" x14ac:dyDescent="0.2">
      <c r="A233">
        <v>2002</v>
      </c>
      <c r="B233">
        <v>35</v>
      </c>
      <c r="C233" t="s">
        <v>4</v>
      </c>
      <c r="D233">
        <v>15</v>
      </c>
    </row>
    <row r="234" spans="1:8" x14ac:dyDescent="0.2">
      <c r="A234">
        <v>2002</v>
      </c>
      <c r="B234">
        <v>40</v>
      </c>
      <c r="C234" t="s">
        <v>4</v>
      </c>
      <c r="D234">
        <v>16</v>
      </c>
    </row>
    <row r="235" spans="1:8" x14ac:dyDescent="0.2">
      <c r="A235">
        <v>2002</v>
      </c>
      <c r="B235">
        <v>45</v>
      </c>
      <c r="C235" t="s">
        <v>4</v>
      </c>
      <c r="D235">
        <v>4</v>
      </c>
    </row>
    <row r="236" spans="1:8" x14ac:dyDescent="0.2">
      <c r="A236">
        <v>2002</v>
      </c>
      <c r="B236">
        <v>50</v>
      </c>
      <c r="C236" t="s">
        <v>4</v>
      </c>
      <c r="D236">
        <v>5</v>
      </c>
      <c r="F236" s="1"/>
    </row>
    <row r="237" spans="1:8" x14ac:dyDescent="0.2">
      <c r="A237">
        <v>2002</v>
      </c>
      <c r="B237">
        <v>55</v>
      </c>
      <c r="C237" t="s">
        <v>4</v>
      </c>
      <c r="D237">
        <v>10</v>
      </c>
      <c r="F237" s="1"/>
      <c r="G237" s="1"/>
    </row>
    <row r="238" spans="1:8" x14ac:dyDescent="0.2">
      <c r="A238">
        <v>2002</v>
      </c>
      <c r="B238">
        <v>60</v>
      </c>
      <c r="C238" t="s">
        <v>4</v>
      </c>
      <c r="D238">
        <v>4</v>
      </c>
      <c r="F238" s="1"/>
      <c r="G238" s="1"/>
    </row>
    <row r="239" spans="1:8" x14ac:dyDescent="0.2">
      <c r="A239">
        <v>2002</v>
      </c>
      <c r="B239">
        <v>65</v>
      </c>
      <c r="C239" t="s">
        <v>4</v>
      </c>
      <c r="D239">
        <v>3</v>
      </c>
      <c r="F239" s="1"/>
      <c r="G239" s="1"/>
    </row>
    <row r="240" spans="1:8" x14ac:dyDescent="0.2">
      <c r="A240">
        <v>2002</v>
      </c>
      <c r="B240">
        <v>70</v>
      </c>
      <c r="C240" t="s">
        <v>4</v>
      </c>
      <c r="D240">
        <v>4</v>
      </c>
      <c r="F240" s="1"/>
      <c r="G240" s="1"/>
    </row>
    <row r="241" spans="1:8" x14ac:dyDescent="0.2">
      <c r="A241">
        <v>2002</v>
      </c>
      <c r="B241">
        <v>75</v>
      </c>
      <c r="C241" t="s">
        <v>4</v>
      </c>
      <c r="D241">
        <v>4</v>
      </c>
      <c r="F241" s="1"/>
      <c r="G241" s="1"/>
    </row>
    <row r="242" spans="1:8" x14ac:dyDescent="0.2">
      <c r="A242">
        <v>2002</v>
      </c>
      <c r="B242">
        <v>80</v>
      </c>
      <c r="C242" t="s">
        <v>4</v>
      </c>
      <c r="D242">
        <v>3</v>
      </c>
      <c r="F242" s="1"/>
      <c r="G242" s="1"/>
    </row>
    <row r="243" spans="1:8" x14ac:dyDescent="0.2">
      <c r="A243">
        <v>2002</v>
      </c>
      <c r="B243">
        <v>85</v>
      </c>
      <c r="C243" t="s">
        <v>4</v>
      </c>
      <c r="D243">
        <v>0</v>
      </c>
      <c r="F243" s="1"/>
      <c r="G243" s="1"/>
    </row>
    <row r="244" spans="1:8" x14ac:dyDescent="0.2">
      <c r="A244">
        <v>2003</v>
      </c>
      <c r="B244">
        <v>0</v>
      </c>
      <c r="C244" t="s">
        <v>4</v>
      </c>
      <c r="D244">
        <v>1</v>
      </c>
      <c r="F244" s="1"/>
      <c r="G244" s="1"/>
    </row>
    <row r="245" spans="1:8" x14ac:dyDescent="0.2">
      <c r="A245">
        <v>2003</v>
      </c>
      <c r="B245">
        <v>1</v>
      </c>
      <c r="C245" t="s">
        <v>4</v>
      </c>
      <c r="D245">
        <v>1</v>
      </c>
      <c r="F245" s="1"/>
      <c r="G245" s="1"/>
      <c r="H245" s="1"/>
    </row>
    <row r="246" spans="1:8" x14ac:dyDescent="0.2">
      <c r="A246">
        <v>2003</v>
      </c>
      <c r="B246">
        <v>5</v>
      </c>
      <c r="C246" t="s">
        <v>4</v>
      </c>
      <c r="D246">
        <v>2</v>
      </c>
      <c r="F246" s="1"/>
      <c r="G246" s="1"/>
    </row>
    <row r="247" spans="1:8" x14ac:dyDescent="0.2">
      <c r="A247">
        <v>2003</v>
      </c>
      <c r="B247">
        <v>10</v>
      </c>
      <c r="C247" t="s">
        <v>4</v>
      </c>
      <c r="D247">
        <v>4</v>
      </c>
      <c r="F247" s="1"/>
      <c r="G247" s="1"/>
    </row>
    <row r="248" spans="1:8" x14ac:dyDescent="0.2">
      <c r="A248">
        <v>2003</v>
      </c>
      <c r="B248">
        <v>15</v>
      </c>
      <c r="C248" t="s">
        <v>4</v>
      </c>
      <c r="D248">
        <v>17</v>
      </c>
    </row>
    <row r="249" spans="1:8" x14ac:dyDescent="0.2">
      <c r="A249">
        <v>2003</v>
      </c>
      <c r="B249">
        <v>20</v>
      </c>
      <c r="C249" t="s">
        <v>4</v>
      </c>
      <c r="D249">
        <v>33</v>
      </c>
      <c r="F249" s="1"/>
      <c r="G249" s="1"/>
    </row>
    <row r="250" spans="1:8" x14ac:dyDescent="0.2">
      <c r="A250">
        <v>2003</v>
      </c>
      <c r="B250">
        <v>25</v>
      </c>
      <c r="C250" t="s">
        <v>4</v>
      </c>
      <c r="D250">
        <v>29</v>
      </c>
      <c r="F250" s="1"/>
      <c r="G250" s="1"/>
    </row>
    <row r="251" spans="1:8" x14ac:dyDescent="0.2">
      <c r="A251">
        <v>2003</v>
      </c>
      <c r="B251">
        <v>30</v>
      </c>
      <c r="C251" t="s">
        <v>4</v>
      </c>
      <c r="D251">
        <v>24</v>
      </c>
      <c r="F251" s="1"/>
      <c r="G251" s="1"/>
    </row>
    <row r="252" spans="1:8" x14ac:dyDescent="0.2">
      <c r="A252">
        <v>2003</v>
      </c>
      <c r="B252">
        <v>35</v>
      </c>
      <c r="C252" t="s">
        <v>4</v>
      </c>
      <c r="D252">
        <v>17</v>
      </c>
      <c r="F252" s="1"/>
      <c r="G252" s="1"/>
    </row>
    <row r="253" spans="1:8" x14ac:dyDescent="0.2">
      <c r="A253">
        <v>2003</v>
      </c>
      <c r="B253">
        <v>40</v>
      </c>
      <c r="C253" t="s">
        <v>4</v>
      </c>
      <c r="D253">
        <v>13</v>
      </c>
      <c r="F253" s="1"/>
      <c r="G253" s="1"/>
    </row>
    <row r="254" spans="1:8" x14ac:dyDescent="0.2">
      <c r="A254">
        <v>2003</v>
      </c>
      <c r="B254">
        <v>45</v>
      </c>
      <c r="C254" t="s">
        <v>4</v>
      </c>
      <c r="D254">
        <v>16</v>
      </c>
      <c r="F254" s="1"/>
      <c r="G254" s="1"/>
    </row>
    <row r="255" spans="1:8" x14ac:dyDescent="0.2">
      <c r="A255">
        <v>2003</v>
      </c>
      <c r="B255">
        <v>50</v>
      </c>
      <c r="C255" t="s">
        <v>4</v>
      </c>
      <c r="D255">
        <v>11</v>
      </c>
      <c r="F255" s="1"/>
      <c r="G255" s="1"/>
    </row>
    <row r="256" spans="1:8" x14ac:dyDescent="0.2">
      <c r="A256">
        <v>2003</v>
      </c>
      <c r="B256">
        <v>55</v>
      </c>
      <c r="C256" t="s">
        <v>4</v>
      </c>
      <c r="D256">
        <v>10</v>
      </c>
      <c r="F256" s="1"/>
      <c r="G256" s="1"/>
    </row>
    <row r="257" spans="1:8" x14ac:dyDescent="0.2">
      <c r="A257">
        <v>2003</v>
      </c>
      <c r="B257">
        <v>60</v>
      </c>
      <c r="C257" t="s">
        <v>4</v>
      </c>
      <c r="D257">
        <v>3</v>
      </c>
      <c r="F257" s="1"/>
      <c r="G257" s="1"/>
    </row>
    <row r="258" spans="1:8" x14ac:dyDescent="0.2">
      <c r="A258">
        <v>2003</v>
      </c>
      <c r="B258">
        <v>65</v>
      </c>
      <c r="C258" t="s">
        <v>4</v>
      </c>
      <c r="D258">
        <v>10</v>
      </c>
      <c r="F258" s="1"/>
      <c r="G258" s="1"/>
    </row>
    <row r="259" spans="1:8" x14ac:dyDescent="0.2">
      <c r="A259">
        <v>2003</v>
      </c>
      <c r="B259">
        <v>70</v>
      </c>
      <c r="C259" t="s">
        <v>4</v>
      </c>
      <c r="D259">
        <v>6</v>
      </c>
      <c r="F259" s="1"/>
      <c r="G259" s="1"/>
    </row>
    <row r="260" spans="1:8" x14ac:dyDescent="0.2">
      <c r="A260">
        <v>2003</v>
      </c>
      <c r="B260">
        <v>75</v>
      </c>
      <c r="C260" t="s">
        <v>4</v>
      </c>
      <c r="D260">
        <v>5</v>
      </c>
    </row>
    <row r="261" spans="1:8" x14ac:dyDescent="0.2">
      <c r="A261">
        <v>2003</v>
      </c>
      <c r="B261">
        <v>80</v>
      </c>
      <c r="C261" t="s">
        <v>4</v>
      </c>
      <c r="D261">
        <v>2</v>
      </c>
      <c r="F261" s="1"/>
      <c r="G261" s="1"/>
    </row>
    <row r="262" spans="1:8" x14ac:dyDescent="0.2">
      <c r="A262">
        <v>2003</v>
      </c>
      <c r="B262">
        <v>85</v>
      </c>
      <c r="C262" t="s">
        <v>4</v>
      </c>
      <c r="D262">
        <v>1</v>
      </c>
    </row>
    <row r="263" spans="1:8" x14ac:dyDescent="0.2">
      <c r="A263">
        <v>2004</v>
      </c>
      <c r="B263">
        <v>0</v>
      </c>
      <c r="C263" t="s">
        <v>4</v>
      </c>
      <c r="D263">
        <v>0</v>
      </c>
    </row>
    <row r="264" spans="1:8" x14ac:dyDescent="0.2">
      <c r="A264">
        <v>2004</v>
      </c>
      <c r="B264">
        <v>1</v>
      </c>
      <c r="C264" t="s">
        <v>4</v>
      </c>
      <c r="D264">
        <v>0</v>
      </c>
      <c r="F264" s="1"/>
      <c r="G264" s="1"/>
      <c r="H264" s="1"/>
    </row>
    <row r="265" spans="1:8" x14ac:dyDescent="0.2">
      <c r="A265">
        <v>2004</v>
      </c>
      <c r="B265">
        <v>10</v>
      </c>
      <c r="C265" t="s">
        <v>4</v>
      </c>
      <c r="D265">
        <v>2</v>
      </c>
      <c r="F265" s="1"/>
      <c r="G265" s="1"/>
    </row>
    <row r="266" spans="1:8" x14ac:dyDescent="0.2">
      <c r="A266">
        <v>2004</v>
      </c>
      <c r="B266">
        <v>15</v>
      </c>
      <c r="C266" t="s">
        <v>4</v>
      </c>
      <c r="D266">
        <v>21</v>
      </c>
      <c r="F266" s="1"/>
      <c r="G266" s="1"/>
    </row>
    <row r="267" spans="1:8" x14ac:dyDescent="0.2">
      <c r="A267">
        <v>2004</v>
      </c>
      <c r="B267">
        <v>20</v>
      </c>
      <c r="C267" t="s">
        <v>4</v>
      </c>
      <c r="D267">
        <v>24</v>
      </c>
    </row>
    <row r="268" spans="1:8" x14ac:dyDescent="0.2">
      <c r="A268">
        <v>2004</v>
      </c>
      <c r="B268">
        <v>25</v>
      </c>
      <c r="C268" t="s">
        <v>4</v>
      </c>
      <c r="D268">
        <v>30</v>
      </c>
    </row>
    <row r="269" spans="1:8" x14ac:dyDescent="0.2">
      <c r="A269">
        <v>2004</v>
      </c>
      <c r="B269">
        <v>30</v>
      </c>
      <c r="C269" t="s">
        <v>4</v>
      </c>
      <c r="D269">
        <v>14</v>
      </c>
    </row>
    <row r="270" spans="1:8" x14ac:dyDescent="0.2">
      <c r="A270">
        <v>2004</v>
      </c>
      <c r="B270">
        <v>35</v>
      </c>
      <c r="C270" t="s">
        <v>4</v>
      </c>
      <c r="D270">
        <v>15</v>
      </c>
    </row>
    <row r="271" spans="1:8" x14ac:dyDescent="0.2">
      <c r="A271">
        <v>2004</v>
      </c>
      <c r="B271">
        <v>40</v>
      </c>
      <c r="C271" t="s">
        <v>4</v>
      </c>
      <c r="D271">
        <v>11</v>
      </c>
    </row>
    <row r="272" spans="1:8" x14ac:dyDescent="0.2">
      <c r="A272">
        <v>2004</v>
      </c>
      <c r="B272">
        <v>45</v>
      </c>
      <c r="C272" t="s">
        <v>4</v>
      </c>
      <c r="D272">
        <v>12</v>
      </c>
    </row>
    <row r="273" spans="1:8" x14ac:dyDescent="0.2">
      <c r="A273">
        <v>2004</v>
      </c>
      <c r="B273">
        <v>50</v>
      </c>
      <c r="C273" t="s">
        <v>4</v>
      </c>
      <c r="D273">
        <v>11</v>
      </c>
    </row>
    <row r="274" spans="1:8" x14ac:dyDescent="0.2">
      <c r="A274">
        <v>2004</v>
      </c>
      <c r="B274">
        <v>55</v>
      </c>
      <c r="C274" t="s">
        <v>4</v>
      </c>
      <c r="D274">
        <v>4</v>
      </c>
      <c r="F274" s="1"/>
      <c r="G274" s="1"/>
    </row>
    <row r="275" spans="1:8" x14ac:dyDescent="0.2">
      <c r="A275">
        <v>2004</v>
      </c>
      <c r="B275">
        <v>60</v>
      </c>
      <c r="C275" t="s">
        <v>4</v>
      </c>
      <c r="D275">
        <v>8</v>
      </c>
      <c r="F275" s="1"/>
      <c r="G275" s="1"/>
    </row>
    <row r="276" spans="1:8" x14ac:dyDescent="0.2">
      <c r="A276">
        <v>2004</v>
      </c>
      <c r="B276">
        <v>65</v>
      </c>
      <c r="C276" t="s">
        <v>4</v>
      </c>
      <c r="D276">
        <v>4</v>
      </c>
      <c r="F276" s="1"/>
      <c r="G276" s="1"/>
    </row>
    <row r="277" spans="1:8" x14ac:dyDescent="0.2">
      <c r="A277">
        <v>2004</v>
      </c>
      <c r="B277">
        <v>70</v>
      </c>
      <c r="C277" t="s">
        <v>4</v>
      </c>
      <c r="D277">
        <v>2</v>
      </c>
      <c r="F277" s="1"/>
      <c r="G277" s="1"/>
    </row>
    <row r="278" spans="1:8" x14ac:dyDescent="0.2">
      <c r="A278">
        <v>2004</v>
      </c>
      <c r="B278">
        <v>75</v>
      </c>
      <c r="C278" t="s">
        <v>4</v>
      </c>
      <c r="D278">
        <v>5</v>
      </c>
      <c r="F278" s="1"/>
      <c r="G278" s="1"/>
    </row>
    <row r="279" spans="1:8" x14ac:dyDescent="0.2">
      <c r="A279">
        <v>2004</v>
      </c>
      <c r="B279">
        <v>80</v>
      </c>
      <c r="C279" t="s">
        <v>4</v>
      </c>
      <c r="D279">
        <v>0</v>
      </c>
      <c r="F279" s="1"/>
      <c r="G279" s="1"/>
    </row>
    <row r="280" spans="1:8" x14ac:dyDescent="0.2">
      <c r="A280">
        <v>2005</v>
      </c>
      <c r="B280">
        <v>0</v>
      </c>
      <c r="C280" t="s">
        <v>4</v>
      </c>
      <c r="D280">
        <v>1</v>
      </c>
      <c r="F280" s="1"/>
      <c r="G280" s="1"/>
    </row>
    <row r="281" spans="1:8" x14ac:dyDescent="0.2">
      <c r="A281">
        <v>2005</v>
      </c>
      <c r="B281">
        <v>1</v>
      </c>
      <c r="C281" t="s">
        <v>4</v>
      </c>
      <c r="D281">
        <v>0</v>
      </c>
      <c r="F281" s="1"/>
      <c r="G281" s="1"/>
      <c r="H281" s="1"/>
    </row>
    <row r="282" spans="1:8" x14ac:dyDescent="0.2">
      <c r="A282">
        <v>2005</v>
      </c>
      <c r="B282">
        <v>5</v>
      </c>
      <c r="C282" t="s">
        <v>4</v>
      </c>
      <c r="D282">
        <v>0</v>
      </c>
      <c r="F282" s="1"/>
      <c r="G282" s="1"/>
    </row>
    <row r="283" spans="1:8" x14ac:dyDescent="0.2">
      <c r="A283">
        <v>2005</v>
      </c>
      <c r="B283">
        <v>10</v>
      </c>
      <c r="C283" t="s">
        <v>4</v>
      </c>
      <c r="D283">
        <v>3</v>
      </c>
      <c r="F283" s="1"/>
      <c r="G283" s="1"/>
    </row>
    <row r="284" spans="1:8" x14ac:dyDescent="0.2">
      <c r="A284">
        <v>2005</v>
      </c>
      <c r="B284">
        <v>15</v>
      </c>
      <c r="C284" t="s">
        <v>4</v>
      </c>
      <c r="D284">
        <v>23</v>
      </c>
      <c r="F284" s="1"/>
      <c r="G284" s="1"/>
    </row>
    <row r="285" spans="1:8" x14ac:dyDescent="0.2">
      <c r="A285">
        <v>2005</v>
      </c>
      <c r="B285">
        <v>20</v>
      </c>
      <c r="C285" t="s">
        <v>4</v>
      </c>
      <c r="D285">
        <v>31</v>
      </c>
      <c r="F285" s="1"/>
      <c r="G285" s="1"/>
    </row>
    <row r="286" spans="1:8" x14ac:dyDescent="0.2">
      <c r="A286">
        <v>2005</v>
      </c>
      <c r="B286">
        <v>25</v>
      </c>
      <c r="C286" t="s">
        <v>4</v>
      </c>
      <c r="D286">
        <v>33</v>
      </c>
      <c r="F286" s="1"/>
      <c r="G286" s="1"/>
    </row>
    <row r="287" spans="1:8" x14ac:dyDescent="0.2">
      <c r="A287">
        <v>2005</v>
      </c>
      <c r="B287">
        <v>30</v>
      </c>
      <c r="C287" t="s">
        <v>4</v>
      </c>
      <c r="D287">
        <v>23</v>
      </c>
      <c r="F287" s="1"/>
      <c r="G287" s="1"/>
    </row>
    <row r="288" spans="1:8" x14ac:dyDescent="0.2">
      <c r="A288">
        <v>2005</v>
      </c>
      <c r="B288">
        <v>35</v>
      </c>
      <c r="C288" t="s">
        <v>4</v>
      </c>
      <c r="D288">
        <v>17</v>
      </c>
      <c r="F288" s="1"/>
      <c r="G288" s="1"/>
    </row>
    <row r="289" spans="1:8" x14ac:dyDescent="0.2">
      <c r="A289">
        <v>2005</v>
      </c>
      <c r="B289">
        <v>40</v>
      </c>
      <c r="C289" t="s">
        <v>4</v>
      </c>
      <c r="D289">
        <v>10</v>
      </c>
      <c r="F289" s="1"/>
      <c r="G289" s="1"/>
    </row>
    <row r="290" spans="1:8" x14ac:dyDescent="0.2">
      <c r="A290">
        <v>2005</v>
      </c>
      <c r="B290">
        <v>45</v>
      </c>
      <c r="C290" t="s">
        <v>4</v>
      </c>
      <c r="D290">
        <v>16</v>
      </c>
      <c r="F290" s="1"/>
      <c r="G290" s="1"/>
    </row>
    <row r="291" spans="1:8" x14ac:dyDescent="0.2">
      <c r="A291">
        <v>2005</v>
      </c>
      <c r="B291">
        <v>50</v>
      </c>
      <c r="C291" t="s">
        <v>4</v>
      </c>
      <c r="D291">
        <v>7</v>
      </c>
    </row>
    <row r="292" spans="1:8" x14ac:dyDescent="0.2">
      <c r="A292">
        <v>2005</v>
      </c>
      <c r="B292">
        <v>55</v>
      </c>
      <c r="C292" t="s">
        <v>4</v>
      </c>
      <c r="D292">
        <v>7</v>
      </c>
      <c r="F292" s="1"/>
      <c r="G292" s="1"/>
    </row>
    <row r="293" spans="1:8" x14ac:dyDescent="0.2">
      <c r="A293">
        <v>2005</v>
      </c>
      <c r="B293">
        <v>60</v>
      </c>
      <c r="C293" t="s">
        <v>4</v>
      </c>
      <c r="D293">
        <v>6</v>
      </c>
      <c r="F293" s="1"/>
      <c r="G293" s="1"/>
    </row>
    <row r="294" spans="1:8" x14ac:dyDescent="0.2">
      <c r="A294">
        <v>2005</v>
      </c>
      <c r="B294">
        <v>65</v>
      </c>
      <c r="C294" t="s">
        <v>4</v>
      </c>
      <c r="D294">
        <v>3</v>
      </c>
      <c r="F294" s="1"/>
      <c r="G294" s="1"/>
    </row>
    <row r="295" spans="1:8" x14ac:dyDescent="0.2">
      <c r="A295">
        <v>2005</v>
      </c>
      <c r="B295">
        <v>70</v>
      </c>
      <c r="C295" t="s">
        <v>4</v>
      </c>
      <c r="D295">
        <v>7</v>
      </c>
      <c r="F295" s="1"/>
      <c r="G295" s="1"/>
    </row>
    <row r="296" spans="1:8" x14ac:dyDescent="0.2">
      <c r="A296">
        <v>2005</v>
      </c>
      <c r="B296">
        <v>75</v>
      </c>
      <c r="C296" t="s">
        <v>4</v>
      </c>
      <c r="D296">
        <v>1</v>
      </c>
    </row>
    <row r="297" spans="1:8" x14ac:dyDescent="0.2">
      <c r="A297">
        <v>2005</v>
      </c>
      <c r="B297">
        <v>80</v>
      </c>
      <c r="C297" t="s">
        <v>4</v>
      </c>
      <c r="D297">
        <v>1</v>
      </c>
    </row>
    <row r="298" spans="1:8" x14ac:dyDescent="0.2">
      <c r="A298">
        <v>2005</v>
      </c>
      <c r="B298">
        <v>85</v>
      </c>
      <c r="C298" t="s">
        <v>4</v>
      </c>
      <c r="D298">
        <v>1</v>
      </c>
      <c r="F298" s="1"/>
      <c r="G298" s="1"/>
      <c r="H298" s="1"/>
    </row>
    <row r="299" spans="1:8" x14ac:dyDescent="0.2">
      <c r="A299">
        <v>2006</v>
      </c>
      <c r="B299">
        <v>0</v>
      </c>
      <c r="C299" t="s">
        <v>4</v>
      </c>
      <c r="D299">
        <v>1</v>
      </c>
      <c r="F299" s="1"/>
      <c r="G299" s="1"/>
    </row>
    <row r="300" spans="1:8" x14ac:dyDescent="0.2">
      <c r="A300">
        <v>2006</v>
      </c>
      <c r="B300">
        <v>1</v>
      </c>
      <c r="C300" t="s">
        <v>4</v>
      </c>
      <c r="D300">
        <v>2</v>
      </c>
      <c r="F300" s="1"/>
      <c r="G300" s="1"/>
    </row>
    <row r="301" spans="1:8" x14ac:dyDescent="0.2">
      <c r="A301">
        <v>2006</v>
      </c>
      <c r="B301">
        <v>5</v>
      </c>
      <c r="C301" t="s">
        <v>4</v>
      </c>
      <c r="D301">
        <v>0</v>
      </c>
      <c r="F301" s="1"/>
      <c r="G301" s="1"/>
    </row>
    <row r="302" spans="1:8" x14ac:dyDescent="0.2">
      <c r="A302">
        <v>2006</v>
      </c>
      <c r="B302">
        <v>10</v>
      </c>
      <c r="C302" t="s">
        <v>4</v>
      </c>
      <c r="D302">
        <v>2</v>
      </c>
    </row>
    <row r="303" spans="1:8" x14ac:dyDescent="0.2">
      <c r="A303">
        <v>2006</v>
      </c>
      <c r="B303">
        <v>15</v>
      </c>
      <c r="C303" t="s">
        <v>4</v>
      </c>
      <c r="D303">
        <v>13</v>
      </c>
    </row>
    <row r="304" spans="1:8" x14ac:dyDescent="0.2">
      <c r="A304">
        <v>2006</v>
      </c>
      <c r="B304">
        <v>20</v>
      </c>
      <c r="C304" t="s">
        <v>4</v>
      </c>
      <c r="D304">
        <v>32</v>
      </c>
    </row>
    <row r="305" spans="1:8" x14ac:dyDescent="0.2">
      <c r="A305">
        <v>2006</v>
      </c>
      <c r="B305">
        <v>25</v>
      </c>
      <c r="C305" t="s">
        <v>4</v>
      </c>
      <c r="D305">
        <v>28</v>
      </c>
    </row>
    <row r="306" spans="1:8" x14ac:dyDescent="0.2">
      <c r="A306">
        <v>2006</v>
      </c>
      <c r="B306">
        <v>30</v>
      </c>
      <c r="C306" t="s">
        <v>4</v>
      </c>
      <c r="D306">
        <v>18</v>
      </c>
      <c r="F306" s="1"/>
    </row>
    <row r="307" spans="1:8" x14ac:dyDescent="0.2">
      <c r="A307">
        <v>2006</v>
      </c>
      <c r="B307">
        <v>35</v>
      </c>
      <c r="C307" t="s">
        <v>4</v>
      </c>
      <c r="D307">
        <v>19</v>
      </c>
    </row>
    <row r="308" spans="1:8" x14ac:dyDescent="0.2">
      <c r="A308">
        <v>2006</v>
      </c>
      <c r="B308">
        <v>40</v>
      </c>
      <c r="C308" t="s">
        <v>4</v>
      </c>
      <c r="D308">
        <v>15</v>
      </c>
    </row>
    <row r="309" spans="1:8" x14ac:dyDescent="0.2">
      <c r="A309">
        <v>2006</v>
      </c>
      <c r="B309">
        <v>45</v>
      </c>
      <c r="C309" t="s">
        <v>4</v>
      </c>
      <c r="D309">
        <v>14</v>
      </c>
    </row>
    <row r="310" spans="1:8" x14ac:dyDescent="0.2">
      <c r="A310">
        <v>2006</v>
      </c>
      <c r="B310">
        <v>50</v>
      </c>
      <c r="C310" t="s">
        <v>4</v>
      </c>
      <c r="D310">
        <v>4</v>
      </c>
    </row>
    <row r="311" spans="1:8" x14ac:dyDescent="0.2">
      <c r="A311">
        <v>2006</v>
      </c>
      <c r="B311">
        <v>55</v>
      </c>
      <c r="C311" t="s">
        <v>4</v>
      </c>
      <c r="D311">
        <v>8</v>
      </c>
    </row>
    <row r="312" spans="1:8" x14ac:dyDescent="0.2">
      <c r="A312">
        <v>2006</v>
      </c>
      <c r="B312">
        <v>60</v>
      </c>
      <c r="C312" t="s">
        <v>4</v>
      </c>
      <c r="D312">
        <v>9</v>
      </c>
      <c r="F312" s="1"/>
      <c r="G312" s="1"/>
    </row>
    <row r="313" spans="1:8" x14ac:dyDescent="0.2">
      <c r="A313">
        <v>2006</v>
      </c>
      <c r="B313">
        <v>65</v>
      </c>
      <c r="C313" t="s">
        <v>4</v>
      </c>
      <c r="D313">
        <v>6</v>
      </c>
      <c r="F313" s="1"/>
      <c r="G313" s="1"/>
    </row>
    <row r="314" spans="1:8" x14ac:dyDescent="0.2">
      <c r="A314">
        <v>2006</v>
      </c>
      <c r="B314">
        <v>70</v>
      </c>
      <c r="C314" t="s">
        <v>4</v>
      </c>
      <c r="D314">
        <v>1</v>
      </c>
      <c r="F314" s="1"/>
      <c r="G314" s="1"/>
    </row>
    <row r="315" spans="1:8" x14ac:dyDescent="0.2">
      <c r="A315">
        <v>2006</v>
      </c>
      <c r="B315">
        <v>75</v>
      </c>
      <c r="C315" t="s">
        <v>4</v>
      </c>
      <c r="D315">
        <v>2</v>
      </c>
      <c r="F315" s="1"/>
      <c r="G315" s="1"/>
    </row>
    <row r="316" spans="1:8" x14ac:dyDescent="0.2">
      <c r="A316">
        <v>2006</v>
      </c>
      <c r="B316">
        <v>80</v>
      </c>
      <c r="C316" t="s">
        <v>4</v>
      </c>
      <c r="D316">
        <v>1</v>
      </c>
      <c r="F316" s="1"/>
      <c r="G316" s="1"/>
    </row>
    <row r="317" spans="1:8" x14ac:dyDescent="0.2">
      <c r="A317">
        <v>2006</v>
      </c>
      <c r="B317">
        <v>85</v>
      </c>
      <c r="C317" t="s">
        <v>4</v>
      </c>
      <c r="D317">
        <v>3</v>
      </c>
      <c r="F317" s="1"/>
      <c r="G317" s="1"/>
      <c r="H317" s="1"/>
    </row>
    <row r="318" spans="1:8" x14ac:dyDescent="0.2">
      <c r="A318">
        <v>2007</v>
      </c>
      <c r="B318">
        <v>0</v>
      </c>
      <c r="C318" t="s">
        <v>4</v>
      </c>
      <c r="D318">
        <v>3</v>
      </c>
      <c r="F318" s="1"/>
      <c r="G318" s="1"/>
    </row>
    <row r="319" spans="1:8" x14ac:dyDescent="0.2">
      <c r="A319">
        <v>2007</v>
      </c>
      <c r="B319">
        <v>1</v>
      </c>
      <c r="C319" t="s">
        <v>4</v>
      </c>
      <c r="D319">
        <v>0</v>
      </c>
      <c r="F319" s="1"/>
      <c r="G319" s="1"/>
    </row>
    <row r="320" spans="1:8" x14ac:dyDescent="0.2">
      <c r="A320">
        <v>2007</v>
      </c>
      <c r="B320">
        <v>5</v>
      </c>
      <c r="C320" t="s">
        <v>4</v>
      </c>
      <c r="D320">
        <v>0</v>
      </c>
    </row>
    <row r="321" spans="1:8" x14ac:dyDescent="0.2">
      <c r="A321">
        <v>2007</v>
      </c>
      <c r="B321">
        <v>10</v>
      </c>
      <c r="C321" t="s">
        <v>4</v>
      </c>
      <c r="D321">
        <v>6</v>
      </c>
      <c r="F321" s="1"/>
      <c r="G321" s="1"/>
    </row>
    <row r="322" spans="1:8" x14ac:dyDescent="0.2">
      <c r="A322">
        <v>2007</v>
      </c>
      <c r="B322">
        <v>15</v>
      </c>
      <c r="C322" t="s">
        <v>4</v>
      </c>
      <c r="D322">
        <v>27</v>
      </c>
      <c r="F322" s="1"/>
      <c r="G322" s="1"/>
    </row>
    <row r="323" spans="1:8" x14ac:dyDescent="0.2">
      <c r="A323">
        <v>2007</v>
      </c>
      <c r="B323">
        <v>20</v>
      </c>
      <c r="C323" t="s">
        <v>4</v>
      </c>
      <c r="D323">
        <v>28</v>
      </c>
      <c r="F323" s="1"/>
      <c r="G323" s="1"/>
    </row>
    <row r="324" spans="1:8" x14ac:dyDescent="0.2">
      <c r="A324">
        <v>2007</v>
      </c>
      <c r="B324">
        <v>25</v>
      </c>
      <c r="C324" t="s">
        <v>4</v>
      </c>
      <c r="D324">
        <v>25</v>
      </c>
      <c r="F324" s="1"/>
      <c r="G324" s="1"/>
    </row>
    <row r="325" spans="1:8" x14ac:dyDescent="0.2">
      <c r="A325">
        <v>2007</v>
      </c>
      <c r="B325">
        <v>30</v>
      </c>
      <c r="C325" t="s">
        <v>4</v>
      </c>
      <c r="D325">
        <v>21</v>
      </c>
      <c r="F325" s="1"/>
      <c r="G325" s="1"/>
    </row>
    <row r="326" spans="1:8" x14ac:dyDescent="0.2">
      <c r="A326">
        <v>2007</v>
      </c>
      <c r="B326">
        <v>35</v>
      </c>
      <c r="C326" t="s">
        <v>4</v>
      </c>
      <c r="D326">
        <v>23</v>
      </c>
      <c r="F326" s="1"/>
      <c r="G326" s="1"/>
    </row>
    <row r="327" spans="1:8" x14ac:dyDescent="0.2">
      <c r="A327">
        <v>2007</v>
      </c>
      <c r="B327">
        <v>40</v>
      </c>
      <c r="C327" t="s">
        <v>4</v>
      </c>
      <c r="D327">
        <v>8</v>
      </c>
      <c r="F327" s="1"/>
      <c r="G327" s="1"/>
    </row>
    <row r="328" spans="1:8" x14ac:dyDescent="0.2">
      <c r="A328">
        <v>2007</v>
      </c>
      <c r="B328">
        <v>45</v>
      </c>
      <c r="C328" t="s">
        <v>4</v>
      </c>
      <c r="D328">
        <v>10</v>
      </c>
    </row>
    <row r="329" spans="1:8" x14ac:dyDescent="0.2">
      <c r="A329">
        <v>2007</v>
      </c>
      <c r="B329">
        <v>50</v>
      </c>
      <c r="C329" t="s">
        <v>4</v>
      </c>
      <c r="D329">
        <v>15</v>
      </c>
      <c r="F329" s="1"/>
      <c r="G329" s="1"/>
    </row>
    <row r="330" spans="1:8" x14ac:dyDescent="0.2">
      <c r="A330">
        <v>2007</v>
      </c>
      <c r="B330">
        <v>55</v>
      </c>
      <c r="C330" t="s">
        <v>4</v>
      </c>
      <c r="D330">
        <v>6</v>
      </c>
    </row>
    <row r="331" spans="1:8" x14ac:dyDescent="0.2">
      <c r="A331">
        <v>2007</v>
      </c>
      <c r="B331">
        <v>60</v>
      </c>
      <c r="C331" t="s">
        <v>4</v>
      </c>
      <c r="D331">
        <v>3</v>
      </c>
    </row>
    <row r="332" spans="1:8" x14ac:dyDescent="0.2">
      <c r="A332">
        <v>2007</v>
      </c>
      <c r="B332">
        <v>65</v>
      </c>
      <c r="C332" t="s">
        <v>4</v>
      </c>
      <c r="D332">
        <v>7</v>
      </c>
      <c r="F332" s="1"/>
      <c r="G332" s="1"/>
    </row>
    <row r="333" spans="1:8" x14ac:dyDescent="0.2">
      <c r="A333">
        <v>2007</v>
      </c>
      <c r="B333">
        <v>70</v>
      </c>
      <c r="C333" t="s">
        <v>4</v>
      </c>
      <c r="D333">
        <v>2</v>
      </c>
      <c r="F333" s="1"/>
      <c r="G333" s="1"/>
    </row>
    <row r="334" spans="1:8" x14ac:dyDescent="0.2">
      <c r="A334">
        <v>2007</v>
      </c>
      <c r="B334">
        <v>75</v>
      </c>
      <c r="C334" t="s">
        <v>4</v>
      </c>
      <c r="D334">
        <v>2</v>
      </c>
      <c r="F334" s="1"/>
      <c r="G334" s="1"/>
    </row>
    <row r="335" spans="1:8" x14ac:dyDescent="0.2">
      <c r="A335">
        <v>2007</v>
      </c>
      <c r="B335">
        <v>80</v>
      </c>
      <c r="C335" t="s">
        <v>4</v>
      </c>
      <c r="D335">
        <v>4</v>
      </c>
      <c r="F335" s="1"/>
      <c r="G335" s="1"/>
    </row>
    <row r="336" spans="1:8" x14ac:dyDescent="0.2">
      <c r="A336">
        <v>2007</v>
      </c>
      <c r="B336">
        <v>85</v>
      </c>
      <c r="C336" t="s">
        <v>4</v>
      </c>
      <c r="D336">
        <v>0</v>
      </c>
      <c r="F336" s="1"/>
      <c r="G336" s="1"/>
      <c r="H336" s="1"/>
    </row>
    <row r="337" spans="1:7" x14ac:dyDescent="0.2">
      <c r="A337">
        <v>2008</v>
      </c>
      <c r="B337">
        <v>0</v>
      </c>
      <c r="C337" t="s">
        <v>4</v>
      </c>
      <c r="D337">
        <v>2</v>
      </c>
    </row>
    <row r="338" spans="1:7" x14ac:dyDescent="0.2">
      <c r="A338">
        <v>2008</v>
      </c>
      <c r="B338">
        <v>1</v>
      </c>
      <c r="C338" t="s">
        <v>4</v>
      </c>
      <c r="D338">
        <v>2</v>
      </c>
    </row>
    <row r="339" spans="1:7" x14ac:dyDescent="0.2">
      <c r="A339">
        <v>2008</v>
      </c>
      <c r="B339">
        <v>5</v>
      </c>
      <c r="C339" t="s">
        <v>4</v>
      </c>
      <c r="D339">
        <v>1</v>
      </c>
      <c r="F339" s="1"/>
      <c r="G339" s="1"/>
    </row>
    <row r="340" spans="1:7" x14ac:dyDescent="0.2">
      <c r="A340">
        <v>2008</v>
      </c>
      <c r="B340">
        <v>10</v>
      </c>
      <c r="C340" t="s">
        <v>4</v>
      </c>
      <c r="D340">
        <v>2</v>
      </c>
    </row>
    <row r="341" spans="1:7" x14ac:dyDescent="0.2">
      <c r="A341">
        <v>2008</v>
      </c>
      <c r="B341">
        <v>15</v>
      </c>
      <c r="C341" t="s">
        <v>4</v>
      </c>
      <c r="D341">
        <v>20</v>
      </c>
      <c r="F341" s="1"/>
    </row>
    <row r="342" spans="1:7" x14ac:dyDescent="0.2">
      <c r="A342">
        <v>2008</v>
      </c>
      <c r="B342">
        <v>20</v>
      </c>
      <c r="C342" t="s">
        <v>4</v>
      </c>
      <c r="D342">
        <v>42</v>
      </c>
    </row>
    <row r="343" spans="1:7" x14ac:dyDescent="0.2">
      <c r="A343">
        <v>2008</v>
      </c>
      <c r="B343">
        <v>25</v>
      </c>
      <c r="C343" t="s">
        <v>4</v>
      </c>
      <c r="D343">
        <v>34</v>
      </c>
      <c r="F343" s="1"/>
    </row>
    <row r="344" spans="1:7" x14ac:dyDescent="0.2">
      <c r="A344">
        <v>2008</v>
      </c>
      <c r="B344">
        <v>30</v>
      </c>
      <c r="C344" t="s">
        <v>4</v>
      </c>
      <c r="D344">
        <v>30</v>
      </c>
    </row>
    <row r="345" spans="1:7" x14ac:dyDescent="0.2">
      <c r="A345">
        <v>2008</v>
      </c>
      <c r="B345">
        <v>35</v>
      </c>
      <c r="C345" t="s">
        <v>4</v>
      </c>
      <c r="D345">
        <v>31</v>
      </c>
      <c r="F345" s="1"/>
      <c r="G345" s="1"/>
    </row>
    <row r="346" spans="1:7" x14ac:dyDescent="0.2">
      <c r="A346">
        <v>2008</v>
      </c>
      <c r="B346">
        <v>40</v>
      </c>
      <c r="C346" t="s">
        <v>4</v>
      </c>
      <c r="D346">
        <v>23</v>
      </c>
    </row>
    <row r="347" spans="1:7" x14ac:dyDescent="0.2">
      <c r="A347">
        <v>2008</v>
      </c>
      <c r="B347">
        <v>45</v>
      </c>
      <c r="C347" t="s">
        <v>4</v>
      </c>
      <c r="D347">
        <v>10</v>
      </c>
      <c r="F347" s="1"/>
      <c r="G347" s="1"/>
    </row>
    <row r="348" spans="1:7" x14ac:dyDescent="0.2">
      <c r="A348">
        <v>2008</v>
      </c>
      <c r="B348">
        <v>50</v>
      </c>
      <c r="C348" t="s">
        <v>4</v>
      </c>
      <c r="D348">
        <v>10</v>
      </c>
      <c r="F348" s="1"/>
      <c r="G348" s="1"/>
    </row>
    <row r="349" spans="1:7" x14ac:dyDescent="0.2">
      <c r="A349">
        <v>2008</v>
      </c>
      <c r="B349">
        <v>55</v>
      </c>
      <c r="C349" t="s">
        <v>4</v>
      </c>
      <c r="D349">
        <v>5</v>
      </c>
      <c r="F349" s="1"/>
      <c r="G349" s="1"/>
    </row>
    <row r="350" spans="1:7" x14ac:dyDescent="0.2">
      <c r="A350">
        <v>2008</v>
      </c>
      <c r="B350">
        <v>60</v>
      </c>
      <c r="C350" t="s">
        <v>4</v>
      </c>
      <c r="D350">
        <v>9</v>
      </c>
      <c r="F350" s="1"/>
      <c r="G350" s="1"/>
    </row>
    <row r="351" spans="1:7" x14ac:dyDescent="0.2">
      <c r="A351">
        <v>2008</v>
      </c>
      <c r="B351">
        <v>65</v>
      </c>
      <c r="C351" t="s">
        <v>4</v>
      </c>
      <c r="D351">
        <v>8</v>
      </c>
      <c r="F351" s="1"/>
      <c r="G351" s="1"/>
    </row>
    <row r="352" spans="1:7" x14ac:dyDescent="0.2">
      <c r="A352">
        <v>2008</v>
      </c>
      <c r="B352">
        <v>70</v>
      </c>
      <c r="C352" t="s">
        <v>4</v>
      </c>
      <c r="D352">
        <v>4</v>
      </c>
      <c r="F352" s="1"/>
      <c r="G352" s="1"/>
    </row>
    <row r="353" spans="1:8" x14ac:dyDescent="0.2">
      <c r="A353">
        <v>2008</v>
      </c>
      <c r="B353">
        <v>75</v>
      </c>
      <c r="C353" t="s">
        <v>4</v>
      </c>
      <c r="D353">
        <v>3</v>
      </c>
      <c r="F353" s="1"/>
      <c r="G353" s="1"/>
    </row>
    <row r="354" spans="1:8" x14ac:dyDescent="0.2">
      <c r="A354">
        <v>2008</v>
      </c>
      <c r="B354">
        <v>80</v>
      </c>
      <c r="C354" t="s">
        <v>4</v>
      </c>
      <c r="D354">
        <v>0</v>
      </c>
      <c r="F354" s="1"/>
      <c r="G354" s="1"/>
      <c r="H354" s="1"/>
    </row>
    <row r="355" spans="1:8" x14ac:dyDescent="0.2">
      <c r="A355">
        <v>2008</v>
      </c>
      <c r="B355">
        <v>85</v>
      </c>
      <c r="C355" t="s">
        <v>4</v>
      </c>
      <c r="D355">
        <v>2</v>
      </c>
      <c r="F355" s="1"/>
      <c r="G355" s="1"/>
    </row>
    <row r="356" spans="1:8" x14ac:dyDescent="0.2">
      <c r="A356">
        <v>2009</v>
      </c>
      <c r="B356">
        <v>0</v>
      </c>
      <c r="C356" t="s">
        <v>4</v>
      </c>
      <c r="D356">
        <v>1</v>
      </c>
      <c r="F356" s="1"/>
      <c r="G356" s="1"/>
    </row>
    <row r="357" spans="1:8" x14ac:dyDescent="0.2">
      <c r="A357">
        <v>2009</v>
      </c>
      <c r="B357">
        <v>1</v>
      </c>
      <c r="C357" t="s">
        <v>4</v>
      </c>
      <c r="D357">
        <v>2</v>
      </c>
    </row>
    <row r="358" spans="1:8" x14ac:dyDescent="0.2">
      <c r="A358">
        <v>2009</v>
      </c>
      <c r="B358">
        <v>5</v>
      </c>
      <c r="C358" t="s">
        <v>4</v>
      </c>
      <c r="D358">
        <v>1</v>
      </c>
      <c r="F358" s="1"/>
      <c r="G358" s="1"/>
    </row>
    <row r="359" spans="1:8" x14ac:dyDescent="0.2">
      <c r="A359">
        <v>2009</v>
      </c>
      <c r="B359">
        <v>10</v>
      </c>
      <c r="C359" t="s">
        <v>4</v>
      </c>
      <c r="D359">
        <v>2</v>
      </c>
      <c r="F359" s="1"/>
      <c r="G359" s="1"/>
    </row>
    <row r="360" spans="1:8" x14ac:dyDescent="0.2">
      <c r="A360">
        <v>2009</v>
      </c>
      <c r="B360">
        <v>15</v>
      </c>
      <c r="C360" t="s">
        <v>4</v>
      </c>
      <c r="D360">
        <v>51</v>
      </c>
      <c r="F360" s="1"/>
      <c r="G360" s="1"/>
    </row>
    <row r="361" spans="1:8" x14ac:dyDescent="0.2">
      <c r="A361">
        <v>2009</v>
      </c>
      <c r="B361">
        <v>20</v>
      </c>
      <c r="C361" t="s">
        <v>4</v>
      </c>
      <c r="D361">
        <v>65</v>
      </c>
      <c r="F361" s="1"/>
      <c r="G361" s="1"/>
    </row>
    <row r="362" spans="1:8" x14ac:dyDescent="0.2">
      <c r="A362">
        <v>2009</v>
      </c>
      <c r="B362">
        <v>25</v>
      </c>
      <c r="C362" t="s">
        <v>4</v>
      </c>
      <c r="D362">
        <v>63</v>
      </c>
      <c r="F362" s="1"/>
      <c r="G362" s="1"/>
    </row>
    <row r="363" spans="1:8" x14ac:dyDescent="0.2">
      <c r="A363">
        <v>2009</v>
      </c>
      <c r="B363">
        <v>30</v>
      </c>
      <c r="C363" t="s">
        <v>4</v>
      </c>
      <c r="D363">
        <v>65</v>
      </c>
      <c r="F363" s="1"/>
      <c r="G363" s="1"/>
    </row>
    <row r="364" spans="1:8" x14ac:dyDescent="0.2">
      <c r="A364">
        <v>2009</v>
      </c>
      <c r="B364">
        <v>35</v>
      </c>
      <c r="C364" t="s">
        <v>4</v>
      </c>
      <c r="D364">
        <v>55</v>
      </c>
      <c r="F364" s="1"/>
      <c r="G364" s="1"/>
    </row>
    <row r="365" spans="1:8" x14ac:dyDescent="0.2">
      <c r="A365">
        <v>2009</v>
      </c>
      <c r="B365">
        <v>40</v>
      </c>
      <c r="C365" t="s">
        <v>4</v>
      </c>
      <c r="D365">
        <v>21</v>
      </c>
      <c r="F365" s="1"/>
      <c r="G365" s="1"/>
    </row>
    <row r="366" spans="1:8" x14ac:dyDescent="0.2">
      <c r="A366">
        <v>2009</v>
      </c>
      <c r="B366">
        <v>45</v>
      </c>
      <c r="C366" t="s">
        <v>4</v>
      </c>
      <c r="D366">
        <v>25</v>
      </c>
    </row>
    <row r="367" spans="1:8" x14ac:dyDescent="0.2">
      <c r="A367">
        <v>2009</v>
      </c>
      <c r="B367">
        <v>50</v>
      </c>
      <c r="C367" t="s">
        <v>4</v>
      </c>
      <c r="D367">
        <v>23</v>
      </c>
      <c r="F367" s="1"/>
      <c r="G367" s="1"/>
    </row>
    <row r="368" spans="1:8" x14ac:dyDescent="0.2">
      <c r="A368">
        <v>2009</v>
      </c>
      <c r="B368">
        <v>55</v>
      </c>
      <c r="C368" t="s">
        <v>4</v>
      </c>
      <c r="D368">
        <v>9</v>
      </c>
    </row>
    <row r="369" spans="1:8" x14ac:dyDescent="0.2">
      <c r="A369">
        <v>2009</v>
      </c>
      <c r="B369">
        <v>60</v>
      </c>
      <c r="C369" t="s">
        <v>4</v>
      </c>
      <c r="D369">
        <v>10</v>
      </c>
    </row>
    <row r="370" spans="1:8" x14ac:dyDescent="0.2">
      <c r="A370">
        <v>2009</v>
      </c>
      <c r="B370">
        <v>65</v>
      </c>
      <c r="C370" t="s">
        <v>4</v>
      </c>
      <c r="D370">
        <v>12</v>
      </c>
      <c r="F370" s="1"/>
      <c r="G370" s="1"/>
    </row>
    <row r="371" spans="1:8" x14ac:dyDescent="0.2">
      <c r="A371">
        <v>2009</v>
      </c>
      <c r="B371">
        <v>70</v>
      </c>
      <c r="C371" t="s">
        <v>4</v>
      </c>
      <c r="D371">
        <v>4</v>
      </c>
      <c r="F371" s="1"/>
      <c r="G371" s="1"/>
    </row>
    <row r="372" spans="1:8" x14ac:dyDescent="0.2">
      <c r="A372">
        <v>2009</v>
      </c>
      <c r="B372">
        <v>75</v>
      </c>
      <c r="C372" t="s">
        <v>4</v>
      </c>
      <c r="D372">
        <v>2</v>
      </c>
      <c r="F372" s="1"/>
      <c r="G372" s="1"/>
      <c r="H372" s="1"/>
    </row>
    <row r="373" spans="1:8" x14ac:dyDescent="0.2">
      <c r="A373">
        <v>2009</v>
      </c>
      <c r="B373">
        <v>80</v>
      </c>
      <c r="C373" t="s">
        <v>4</v>
      </c>
      <c r="D373">
        <v>1</v>
      </c>
    </row>
    <row r="374" spans="1:8" x14ac:dyDescent="0.2">
      <c r="A374">
        <v>2009</v>
      </c>
      <c r="B374">
        <v>85</v>
      </c>
      <c r="C374" t="s">
        <v>4</v>
      </c>
      <c r="D374">
        <v>2</v>
      </c>
      <c r="F374" s="1"/>
      <c r="G374" s="1"/>
    </row>
    <row r="375" spans="1:8" x14ac:dyDescent="0.2">
      <c r="A375">
        <v>2010</v>
      </c>
      <c r="B375">
        <v>0</v>
      </c>
      <c r="C375" t="s">
        <v>4</v>
      </c>
      <c r="D375">
        <v>3</v>
      </c>
      <c r="F375" s="1"/>
      <c r="G375" s="1"/>
    </row>
    <row r="376" spans="1:8" x14ac:dyDescent="0.2">
      <c r="A376">
        <v>2010</v>
      </c>
      <c r="B376">
        <v>1</v>
      </c>
      <c r="C376" t="s">
        <v>4</v>
      </c>
      <c r="D376">
        <v>0</v>
      </c>
    </row>
    <row r="377" spans="1:8" x14ac:dyDescent="0.2">
      <c r="A377">
        <v>2010</v>
      </c>
      <c r="B377">
        <v>5</v>
      </c>
      <c r="C377" t="s">
        <v>4</v>
      </c>
      <c r="D377">
        <v>0</v>
      </c>
    </row>
    <row r="378" spans="1:8" x14ac:dyDescent="0.2">
      <c r="A378">
        <v>2010</v>
      </c>
      <c r="B378">
        <v>10</v>
      </c>
      <c r="C378" t="s">
        <v>4</v>
      </c>
      <c r="D378">
        <v>5</v>
      </c>
    </row>
    <row r="379" spans="1:8" x14ac:dyDescent="0.2">
      <c r="A379">
        <v>2010</v>
      </c>
      <c r="B379">
        <v>15</v>
      </c>
      <c r="C379" t="s">
        <v>4</v>
      </c>
      <c r="D379">
        <v>40</v>
      </c>
    </row>
    <row r="380" spans="1:8" x14ac:dyDescent="0.2">
      <c r="A380">
        <v>2010</v>
      </c>
      <c r="B380">
        <v>20</v>
      </c>
      <c r="C380" t="s">
        <v>4</v>
      </c>
      <c r="D380">
        <v>59</v>
      </c>
    </row>
    <row r="381" spans="1:8" x14ac:dyDescent="0.2">
      <c r="A381">
        <v>2010</v>
      </c>
      <c r="B381">
        <v>25</v>
      </c>
      <c r="C381" t="s">
        <v>4</v>
      </c>
      <c r="D381">
        <v>66</v>
      </c>
      <c r="F381" s="1"/>
      <c r="G381" s="1"/>
    </row>
    <row r="382" spans="1:8" x14ac:dyDescent="0.2">
      <c r="A382">
        <v>2010</v>
      </c>
      <c r="B382">
        <v>30</v>
      </c>
      <c r="C382" t="s">
        <v>4</v>
      </c>
      <c r="D382">
        <v>57</v>
      </c>
    </row>
    <row r="383" spans="1:8" x14ac:dyDescent="0.2">
      <c r="A383">
        <v>2010</v>
      </c>
      <c r="B383">
        <v>35</v>
      </c>
      <c r="C383" t="s">
        <v>4</v>
      </c>
      <c r="D383">
        <v>41</v>
      </c>
      <c r="F383" s="1"/>
      <c r="G383" s="1"/>
    </row>
    <row r="384" spans="1:8" x14ac:dyDescent="0.2">
      <c r="A384">
        <v>2010</v>
      </c>
      <c r="B384">
        <v>40</v>
      </c>
      <c r="C384" t="s">
        <v>4</v>
      </c>
      <c r="D384">
        <v>37</v>
      </c>
      <c r="F384" s="1"/>
      <c r="G384" s="1"/>
    </row>
    <row r="385" spans="1:8" x14ac:dyDescent="0.2">
      <c r="A385">
        <v>2010</v>
      </c>
      <c r="B385">
        <v>45</v>
      </c>
      <c r="C385" t="s">
        <v>4</v>
      </c>
      <c r="D385">
        <v>17</v>
      </c>
      <c r="F385" s="1"/>
      <c r="G385" s="1"/>
    </row>
    <row r="386" spans="1:8" x14ac:dyDescent="0.2">
      <c r="A386">
        <v>2010</v>
      </c>
      <c r="B386">
        <v>50</v>
      </c>
      <c r="C386" t="s">
        <v>4</v>
      </c>
      <c r="D386">
        <v>20</v>
      </c>
      <c r="F386" s="1"/>
      <c r="G386" s="1"/>
    </row>
    <row r="387" spans="1:8" x14ac:dyDescent="0.2">
      <c r="A387">
        <v>2010</v>
      </c>
      <c r="B387">
        <v>55</v>
      </c>
      <c r="C387" t="s">
        <v>4</v>
      </c>
      <c r="D387">
        <v>15</v>
      </c>
      <c r="F387" s="1"/>
      <c r="G387" s="1"/>
    </row>
    <row r="388" spans="1:8" x14ac:dyDescent="0.2">
      <c r="A388">
        <v>2010</v>
      </c>
      <c r="B388">
        <v>60</v>
      </c>
      <c r="C388" t="s">
        <v>4</v>
      </c>
      <c r="D388">
        <v>4</v>
      </c>
      <c r="F388" s="1"/>
      <c r="G388" s="1"/>
    </row>
    <row r="389" spans="1:8" x14ac:dyDescent="0.2">
      <c r="A389">
        <v>2010</v>
      </c>
      <c r="B389">
        <v>65</v>
      </c>
      <c r="C389" t="s">
        <v>4</v>
      </c>
      <c r="D389">
        <v>6</v>
      </c>
      <c r="F389" s="1"/>
      <c r="G389" s="1"/>
    </row>
    <row r="390" spans="1:8" x14ac:dyDescent="0.2">
      <c r="A390">
        <v>2010</v>
      </c>
      <c r="B390">
        <v>70</v>
      </c>
      <c r="C390" t="s">
        <v>4</v>
      </c>
      <c r="D390">
        <v>3</v>
      </c>
      <c r="F390" s="1"/>
      <c r="G390" s="1"/>
    </row>
    <row r="391" spans="1:8" x14ac:dyDescent="0.2">
      <c r="A391">
        <v>2010</v>
      </c>
      <c r="B391">
        <v>75</v>
      </c>
      <c r="C391" t="s">
        <v>4</v>
      </c>
      <c r="D391">
        <v>5</v>
      </c>
      <c r="F391" s="1"/>
      <c r="G391" s="1"/>
      <c r="H391" s="1"/>
    </row>
    <row r="392" spans="1:8" x14ac:dyDescent="0.2">
      <c r="A392">
        <v>2010</v>
      </c>
      <c r="B392">
        <v>80</v>
      </c>
      <c r="C392" t="s">
        <v>4</v>
      </c>
      <c r="D392">
        <v>1</v>
      </c>
      <c r="F392" s="1"/>
      <c r="G392" s="1"/>
    </row>
    <row r="393" spans="1:8" x14ac:dyDescent="0.2">
      <c r="A393">
        <v>2010</v>
      </c>
      <c r="B393">
        <v>85</v>
      </c>
      <c r="C393" t="s">
        <v>4</v>
      </c>
      <c r="D393">
        <v>2</v>
      </c>
    </row>
    <row r="394" spans="1:8" x14ac:dyDescent="0.2">
      <c r="A394">
        <v>2011</v>
      </c>
      <c r="B394">
        <v>0</v>
      </c>
      <c r="C394" t="s">
        <v>4</v>
      </c>
      <c r="D394">
        <v>0</v>
      </c>
      <c r="F394" s="1"/>
      <c r="G394" s="1"/>
    </row>
    <row r="395" spans="1:8" x14ac:dyDescent="0.2">
      <c r="A395">
        <v>2011</v>
      </c>
      <c r="B395">
        <v>1</v>
      </c>
      <c r="C395" t="s">
        <v>4</v>
      </c>
      <c r="D395">
        <v>0</v>
      </c>
      <c r="F395" s="1"/>
      <c r="G395" s="1"/>
    </row>
    <row r="396" spans="1:8" x14ac:dyDescent="0.2">
      <c r="A396">
        <v>2011</v>
      </c>
      <c r="B396">
        <v>5</v>
      </c>
      <c r="C396" t="s">
        <v>4</v>
      </c>
      <c r="D396">
        <v>1</v>
      </c>
      <c r="F396" s="1"/>
      <c r="G396" s="1"/>
    </row>
    <row r="397" spans="1:8" x14ac:dyDescent="0.2">
      <c r="A397">
        <v>2011</v>
      </c>
      <c r="B397">
        <v>10</v>
      </c>
      <c r="C397" t="s">
        <v>4</v>
      </c>
      <c r="D397">
        <v>5</v>
      </c>
      <c r="F397" s="1"/>
      <c r="G397" s="1"/>
    </row>
    <row r="398" spans="1:8" x14ac:dyDescent="0.2">
      <c r="A398">
        <v>2011</v>
      </c>
      <c r="B398">
        <v>15</v>
      </c>
      <c r="C398" t="s">
        <v>4</v>
      </c>
      <c r="D398">
        <v>58</v>
      </c>
      <c r="F398" s="1"/>
      <c r="G398" s="1"/>
    </row>
    <row r="399" spans="1:8" x14ac:dyDescent="0.2">
      <c r="A399">
        <v>2011</v>
      </c>
      <c r="B399">
        <v>20</v>
      </c>
      <c r="C399" t="s">
        <v>4</v>
      </c>
      <c r="D399">
        <v>77</v>
      </c>
      <c r="F399" s="1"/>
      <c r="G399" s="1"/>
    </row>
    <row r="400" spans="1:8" x14ac:dyDescent="0.2">
      <c r="A400">
        <v>2011</v>
      </c>
      <c r="B400">
        <v>25</v>
      </c>
      <c r="C400" t="s">
        <v>4</v>
      </c>
      <c r="D400">
        <v>84</v>
      </c>
      <c r="F400" s="1"/>
      <c r="G400" s="1"/>
    </row>
    <row r="401" spans="1:8" x14ac:dyDescent="0.2">
      <c r="A401">
        <v>2011</v>
      </c>
      <c r="B401">
        <v>30</v>
      </c>
      <c r="C401" t="s">
        <v>4</v>
      </c>
      <c r="D401">
        <v>81</v>
      </c>
      <c r="F401" s="1"/>
      <c r="G401" s="1"/>
    </row>
    <row r="402" spans="1:8" x14ac:dyDescent="0.2">
      <c r="A402">
        <v>2011</v>
      </c>
      <c r="B402">
        <v>35</v>
      </c>
      <c r="C402" t="s">
        <v>4</v>
      </c>
      <c r="D402">
        <v>45</v>
      </c>
      <c r="F402" s="1"/>
      <c r="G402" s="1"/>
    </row>
    <row r="403" spans="1:8" x14ac:dyDescent="0.2">
      <c r="A403">
        <v>2011</v>
      </c>
      <c r="B403">
        <v>40</v>
      </c>
      <c r="C403" t="s">
        <v>4</v>
      </c>
      <c r="D403">
        <v>37</v>
      </c>
    </row>
    <row r="404" spans="1:8" x14ac:dyDescent="0.2">
      <c r="A404">
        <v>2011</v>
      </c>
      <c r="B404">
        <v>45</v>
      </c>
      <c r="C404" t="s">
        <v>4</v>
      </c>
      <c r="D404">
        <v>29</v>
      </c>
      <c r="F404" s="1"/>
      <c r="G404" s="1"/>
    </row>
    <row r="405" spans="1:8" x14ac:dyDescent="0.2">
      <c r="A405">
        <v>2011</v>
      </c>
      <c r="B405">
        <v>50</v>
      </c>
      <c r="C405" t="s">
        <v>4</v>
      </c>
      <c r="D405">
        <v>21</v>
      </c>
      <c r="F405" s="1"/>
      <c r="G405" s="1"/>
    </row>
    <row r="406" spans="1:8" x14ac:dyDescent="0.2">
      <c r="A406">
        <v>2011</v>
      </c>
      <c r="B406">
        <v>55</v>
      </c>
      <c r="C406" t="s">
        <v>4</v>
      </c>
      <c r="D406">
        <v>14</v>
      </c>
      <c r="F406" s="1"/>
      <c r="G406" s="1"/>
    </row>
    <row r="407" spans="1:8" x14ac:dyDescent="0.2">
      <c r="A407">
        <v>2011</v>
      </c>
      <c r="B407">
        <v>60</v>
      </c>
      <c r="C407" t="s">
        <v>4</v>
      </c>
      <c r="D407">
        <v>14</v>
      </c>
    </row>
    <row r="408" spans="1:8" x14ac:dyDescent="0.2">
      <c r="A408">
        <v>2011</v>
      </c>
      <c r="B408">
        <v>65</v>
      </c>
      <c r="C408" t="s">
        <v>4</v>
      </c>
      <c r="D408">
        <v>7</v>
      </c>
    </row>
    <row r="409" spans="1:8" x14ac:dyDescent="0.2">
      <c r="A409">
        <v>2011</v>
      </c>
      <c r="B409">
        <v>70</v>
      </c>
      <c r="C409" t="s">
        <v>4</v>
      </c>
      <c r="D409">
        <v>7</v>
      </c>
      <c r="F409" s="1"/>
      <c r="G409" s="1"/>
    </row>
    <row r="410" spans="1:8" x14ac:dyDescent="0.2">
      <c r="A410">
        <v>2011</v>
      </c>
      <c r="B410">
        <v>75</v>
      </c>
      <c r="C410" t="s">
        <v>4</v>
      </c>
      <c r="D410">
        <v>4</v>
      </c>
      <c r="F410" s="1"/>
      <c r="G410" s="1"/>
      <c r="H410" s="1"/>
    </row>
    <row r="411" spans="1:8" x14ac:dyDescent="0.2">
      <c r="A411">
        <v>2011</v>
      </c>
      <c r="B411">
        <v>80</v>
      </c>
      <c r="C411" t="s">
        <v>4</v>
      </c>
      <c r="D411">
        <v>5</v>
      </c>
      <c r="F411" s="1"/>
      <c r="G411" s="1"/>
    </row>
    <row r="412" spans="1:8" x14ac:dyDescent="0.2">
      <c r="A412">
        <v>2011</v>
      </c>
      <c r="B412">
        <v>85</v>
      </c>
      <c r="C412" t="s">
        <v>4</v>
      </c>
      <c r="D412">
        <v>2</v>
      </c>
      <c r="F412" s="1"/>
      <c r="G412" s="1"/>
    </row>
    <row r="413" spans="1:8" x14ac:dyDescent="0.2">
      <c r="A413">
        <v>2012</v>
      </c>
      <c r="B413">
        <v>0</v>
      </c>
      <c r="C413" t="s">
        <v>4</v>
      </c>
      <c r="D413">
        <v>3</v>
      </c>
      <c r="F413" s="1"/>
      <c r="G413" s="1"/>
    </row>
    <row r="414" spans="1:8" x14ac:dyDescent="0.2">
      <c r="A414">
        <v>2012</v>
      </c>
      <c r="B414">
        <v>1</v>
      </c>
      <c r="C414" t="s">
        <v>4</v>
      </c>
      <c r="D414">
        <v>4</v>
      </c>
    </row>
    <row r="415" spans="1:8" x14ac:dyDescent="0.2">
      <c r="A415">
        <v>2012</v>
      </c>
      <c r="B415">
        <v>10</v>
      </c>
      <c r="C415" t="s">
        <v>4</v>
      </c>
      <c r="D415">
        <v>7</v>
      </c>
    </row>
    <row r="416" spans="1:8" x14ac:dyDescent="0.2">
      <c r="A416">
        <v>2012</v>
      </c>
      <c r="B416">
        <v>15</v>
      </c>
      <c r="C416" t="s">
        <v>4</v>
      </c>
      <c r="D416">
        <v>55</v>
      </c>
    </row>
    <row r="417" spans="1:10" x14ac:dyDescent="0.2">
      <c r="A417">
        <v>2012</v>
      </c>
      <c r="B417">
        <v>20</v>
      </c>
      <c r="C417" t="s">
        <v>4</v>
      </c>
      <c r="D417">
        <v>110</v>
      </c>
    </row>
    <row r="418" spans="1:10" x14ac:dyDescent="0.2">
      <c r="A418">
        <v>2012</v>
      </c>
      <c r="B418">
        <v>25</v>
      </c>
      <c r="C418" t="s">
        <v>4</v>
      </c>
      <c r="D418">
        <v>78</v>
      </c>
    </row>
    <row r="419" spans="1:10" x14ac:dyDescent="0.2">
      <c r="A419">
        <v>2012</v>
      </c>
      <c r="B419">
        <v>30</v>
      </c>
      <c r="C419" t="s">
        <v>4</v>
      </c>
      <c r="D419">
        <v>72</v>
      </c>
      <c r="F419" s="1"/>
      <c r="G419" s="1"/>
    </row>
    <row r="420" spans="1:10" x14ac:dyDescent="0.2">
      <c r="A420">
        <v>2012</v>
      </c>
      <c r="B420">
        <v>35</v>
      </c>
      <c r="C420" t="s">
        <v>4</v>
      </c>
      <c r="D420">
        <v>70</v>
      </c>
    </row>
    <row r="421" spans="1:10" x14ac:dyDescent="0.2">
      <c r="A421">
        <v>2012</v>
      </c>
      <c r="B421">
        <v>40</v>
      </c>
      <c r="C421" t="s">
        <v>4</v>
      </c>
      <c r="D421">
        <v>44</v>
      </c>
      <c r="F421" s="1"/>
      <c r="G421" s="1"/>
    </row>
    <row r="422" spans="1:10" x14ac:dyDescent="0.2">
      <c r="A422">
        <v>2012</v>
      </c>
      <c r="B422">
        <v>45</v>
      </c>
      <c r="C422" t="s">
        <v>4</v>
      </c>
      <c r="D422">
        <v>37</v>
      </c>
      <c r="F422" s="1"/>
      <c r="G422" s="1"/>
    </row>
    <row r="423" spans="1:10" x14ac:dyDescent="0.2">
      <c r="A423">
        <v>2012</v>
      </c>
      <c r="B423">
        <v>50</v>
      </c>
      <c r="C423" t="s">
        <v>4</v>
      </c>
      <c r="D423">
        <v>28</v>
      </c>
      <c r="F423" s="1"/>
      <c r="G423" s="1"/>
    </row>
    <row r="424" spans="1:10" x14ac:dyDescent="0.2">
      <c r="A424">
        <v>2012</v>
      </c>
      <c r="B424">
        <v>55</v>
      </c>
      <c r="C424" t="s">
        <v>4</v>
      </c>
      <c r="D424">
        <v>19</v>
      </c>
      <c r="F424" s="1"/>
      <c r="G424" s="1"/>
    </row>
    <row r="425" spans="1:10" x14ac:dyDescent="0.2">
      <c r="A425">
        <v>2012</v>
      </c>
      <c r="B425">
        <v>60</v>
      </c>
      <c r="C425" t="s">
        <v>4</v>
      </c>
      <c r="D425">
        <v>7</v>
      </c>
      <c r="F425" s="1"/>
      <c r="G425" s="1"/>
    </row>
    <row r="426" spans="1:10" x14ac:dyDescent="0.2">
      <c r="A426">
        <v>2012</v>
      </c>
      <c r="B426">
        <v>65</v>
      </c>
      <c r="C426" t="s">
        <v>4</v>
      </c>
      <c r="D426">
        <v>14</v>
      </c>
      <c r="F426" s="1"/>
      <c r="G426" s="1"/>
    </row>
    <row r="427" spans="1:10" x14ac:dyDescent="0.2">
      <c r="A427">
        <v>2012</v>
      </c>
      <c r="B427">
        <v>70</v>
      </c>
      <c r="C427" t="s">
        <v>4</v>
      </c>
      <c r="D427">
        <v>6</v>
      </c>
      <c r="F427" s="1"/>
      <c r="G427" s="1"/>
    </row>
    <row r="428" spans="1:10" x14ac:dyDescent="0.2">
      <c r="A428">
        <v>2012</v>
      </c>
      <c r="B428">
        <v>75</v>
      </c>
      <c r="C428" t="s">
        <v>4</v>
      </c>
      <c r="D428">
        <v>7</v>
      </c>
      <c r="F428" s="1"/>
      <c r="G428" s="1"/>
    </row>
    <row r="429" spans="1:10" x14ac:dyDescent="0.2">
      <c r="A429">
        <v>2012</v>
      </c>
      <c r="B429">
        <v>80</v>
      </c>
      <c r="C429" t="s">
        <v>4</v>
      </c>
      <c r="D429">
        <v>1</v>
      </c>
      <c r="H429" s="1"/>
      <c r="J429" s="1"/>
    </row>
    <row r="430" spans="1:10" x14ac:dyDescent="0.2">
      <c r="A430">
        <v>2012</v>
      </c>
      <c r="B430">
        <v>85</v>
      </c>
      <c r="C430" t="s">
        <v>4</v>
      </c>
      <c r="D430">
        <v>2</v>
      </c>
      <c r="F430" s="1"/>
      <c r="G430" s="1"/>
      <c r="H430" s="1"/>
    </row>
    <row r="431" spans="1:10" x14ac:dyDescent="0.2">
      <c r="A431">
        <v>2013</v>
      </c>
      <c r="B431">
        <v>0</v>
      </c>
      <c r="C431" t="s">
        <v>4</v>
      </c>
      <c r="D431">
        <v>2</v>
      </c>
      <c r="F431" s="1"/>
      <c r="G431" s="1"/>
    </row>
    <row r="432" spans="1:10" x14ac:dyDescent="0.2">
      <c r="A432">
        <v>2013</v>
      </c>
      <c r="B432">
        <v>1</v>
      </c>
      <c r="C432" t="s">
        <v>4</v>
      </c>
      <c r="D432">
        <v>1</v>
      </c>
      <c r="F432" s="1"/>
      <c r="G432" s="1"/>
    </row>
    <row r="433" spans="1:8" x14ac:dyDescent="0.2">
      <c r="A433">
        <v>2013</v>
      </c>
      <c r="B433">
        <v>5</v>
      </c>
      <c r="C433" t="s">
        <v>4</v>
      </c>
      <c r="D433">
        <v>1</v>
      </c>
      <c r="F433" s="1"/>
      <c r="G433" s="1"/>
    </row>
    <row r="434" spans="1:8" x14ac:dyDescent="0.2">
      <c r="A434">
        <v>2013</v>
      </c>
      <c r="B434">
        <v>10</v>
      </c>
      <c r="C434" t="s">
        <v>4</v>
      </c>
      <c r="D434">
        <v>1</v>
      </c>
      <c r="F434" s="1"/>
      <c r="G434" s="1"/>
    </row>
    <row r="435" spans="1:8" x14ac:dyDescent="0.2">
      <c r="A435">
        <v>2013</v>
      </c>
      <c r="B435">
        <v>15</v>
      </c>
      <c r="C435" t="s">
        <v>4</v>
      </c>
      <c r="D435">
        <v>49</v>
      </c>
      <c r="F435" s="1"/>
      <c r="G435" s="1"/>
    </row>
    <row r="436" spans="1:8" x14ac:dyDescent="0.2">
      <c r="A436">
        <v>2013</v>
      </c>
      <c r="B436">
        <v>20</v>
      </c>
      <c r="C436" t="s">
        <v>4</v>
      </c>
      <c r="D436">
        <v>87</v>
      </c>
      <c r="F436" s="1"/>
      <c r="G436" s="1"/>
    </row>
    <row r="437" spans="1:8" x14ac:dyDescent="0.2">
      <c r="A437">
        <v>2013</v>
      </c>
      <c r="B437">
        <v>25</v>
      </c>
      <c r="C437" t="s">
        <v>4</v>
      </c>
      <c r="D437">
        <v>109</v>
      </c>
      <c r="F437" s="1"/>
      <c r="G437" s="1"/>
    </row>
    <row r="438" spans="1:8" x14ac:dyDescent="0.2">
      <c r="A438">
        <v>2013</v>
      </c>
      <c r="B438">
        <v>30</v>
      </c>
      <c r="C438" t="s">
        <v>4</v>
      </c>
      <c r="D438">
        <v>80</v>
      </c>
      <c r="F438" s="1"/>
      <c r="G438" s="1"/>
    </row>
    <row r="439" spans="1:8" x14ac:dyDescent="0.2">
      <c r="A439">
        <v>2013</v>
      </c>
      <c r="B439">
        <v>35</v>
      </c>
      <c r="C439" t="s">
        <v>4</v>
      </c>
      <c r="D439">
        <v>84</v>
      </c>
      <c r="F439" s="1"/>
      <c r="G439" s="1"/>
    </row>
    <row r="440" spans="1:8" x14ac:dyDescent="0.2">
      <c r="A440">
        <v>2013</v>
      </c>
      <c r="B440">
        <v>40</v>
      </c>
      <c r="C440" t="s">
        <v>4</v>
      </c>
      <c r="D440">
        <v>55</v>
      </c>
    </row>
    <row r="441" spans="1:8" x14ac:dyDescent="0.2">
      <c r="A441">
        <v>2013</v>
      </c>
      <c r="B441">
        <v>45</v>
      </c>
      <c r="C441" t="s">
        <v>4</v>
      </c>
      <c r="D441">
        <v>41</v>
      </c>
      <c r="F441" s="1"/>
      <c r="G441" s="1"/>
    </row>
    <row r="442" spans="1:8" x14ac:dyDescent="0.2">
      <c r="A442">
        <v>2013</v>
      </c>
      <c r="B442">
        <v>50</v>
      </c>
      <c r="C442" t="s">
        <v>4</v>
      </c>
      <c r="D442">
        <v>35</v>
      </c>
    </row>
    <row r="443" spans="1:8" x14ac:dyDescent="0.2">
      <c r="A443">
        <v>2013</v>
      </c>
      <c r="B443">
        <v>55</v>
      </c>
      <c r="C443" t="s">
        <v>4</v>
      </c>
      <c r="D443">
        <v>18</v>
      </c>
      <c r="F443" s="1"/>
      <c r="G443" s="1"/>
    </row>
    <row r="444" spans="1:8" x14ac:dyDescent="0.2">
      <c r="A444">
        <v>2013</v>
      </c>
      <c r="B444">
        <v>60</v>
      </c>
      <c r="C444" t="s">
        <v>4</v>
      </c>
      <c r="D444">
        <v>19</v>
      </c>
      <c r="F444" s="1"/>
      <c r="G444" s="1"/>
    </row>
    <row r="445" spans="1:8" x14ac:dyDescent="0.2">
      <c r="A445">
        <v>2013</v>
      </c>
      <c r="B445">
        <v>65</v>
      </c>
      <c r="C445" t="s">
        <v>4</v>
      </c>
      <c r="D445">
        <v>3</v>
      </c>
    </row>
    <row r="446" spans="1:8" x14ac:dyDescent="0.2">
      <c r="A446">
        <v>2013</v>
      </c>
      <c r="B446">
        <v>70</v>
      </c>
      <c r="C446" t="s">
        <v>4</v>
      </c>
      <c r="D446">
        <v>7</v>
      </c>
      <c r="F446" s="1"/>
      <c r="G446" s="1"/>
    </row>
    <row r="447" spans="1:8" x14ac:dyDescent="0.2">
      <c r="A447">
        <v>2013</v>
      </c>
      <c r="B447">
        <v>75</v>
      </c>
      <c r="C447" t="s">
        <v>4</v>
      </c>
      <c r="D447">
        <v>4</v>
      </c>
      <c r="F447" s="1"/>
      <c r="G447" s="1"/>
    </row>
    <row r="448" spans="1:8" x14ac:dyDescent="0.2">
      <c r="A448">
        <v>2013</v>
      </c>
      <c r="B448">
        <v>80</v>
      </c>
      <c r="C448" t="s">
        <v>4</v>
      </c>
      <c r="D448">
        <v>2</v>
      </c>
      <c r="F448" s="1"/>
      <c r="G448" s="1"/>
      <c r="H448" s="1"/>
    </row>
    <row r="449" spans="1:7" x14ac:dyDescent="0.2">
      <c r="A449">
        <v>2013</v>
      </c>
      <c r="B449">
        <v>85</v>
      </c>
      <c r="C449" t="s">
        <v>4</v>
      </c>
      <c r="D449">
        <v>4</v>
      </c>
    </row>
    <row r="450" spans="1:7" x14ac:dyDescent="0.2">
      <c r="A450">
        <v>2014</v>
      </c>
      <c r="B450">
        <v>0</v>
      </c>
      <c r="C450" t="s">
        <v>4</v>
      </c>
      <c r="D450">
        <v>6</v>
      </c>
      <c r="F450" s="1"/>
      <c r="G450" s="1"/>
    </row>
    <row r="451" spans="1:7" x14ac:dyDescent="0.2">
      <c r="A451">
        <v>2014</v>
      </c>
      <c r="B451">
        <v>1</v>
      </c>
      <c r="C451" t="s">
        <v>4</v>
      </c>
      <c r="D451">
        <v>1</v>
      </c>
      <c r="F451" s="1"/>
      <c r="G451" s="1"/>
    </row>
    <row r="452" spans="1:7" x14ac:dyDescent="0.2">
      <c r="A452">
        <v>2014</v>
      </c>
      <c r="B452">
        <v>5</v>
      </c>
      <c r="C452" t="s">
        <v>4</v>
      </c>
      <c r="D452">
        <v>2</v>
      </c>
    </row>
    <row r="453" spans="1:7" x14ac:dyDescent="0.2">
      <c r="A453">
        <v>2014</v>
      </c>
      <c r="B453">
        <v>10</v>
      </c>
      <c r="C453" t="s">
        <v>4</v>
      </c>
      <c r="D453">
        <v>6</v>
      </c>
    </row>
    <row r="454" spans="1:7" x14ac:dyDescent="0.2">
      <c r="A454">
        <v>2014</v>
      </c>
      <c r="B454">
        <v>15</v>
      </c>
      <c r="C454" t="s">
        <v>4</v>
      </c>
      <c r="D454">
        <v>64</v>
      </c>
    </row>
    <row r="455" spans="1:7" x14ac:dyDescent="0.2">
      <c r="A455">
        <v>2014</v>
      </c>
      <c r="B455">
        <v>20</v>
      </c>
      <c r="C455" t="s">
        <v>4</v>
      </c>
      <c r="D455">
        <v>97</v>
      </c>
    </row>
    <row r="456" spans="1:7" x14ac:dyDescent="0.2">
      <c r="A456">
        <v>2014</v>
      </c>
      <c r="B456">
        <v>25</v>
      </c>
      <c r="C456" t="s">
        <v>4</v>
      </c>
      <c r="D456">
        <v>112</v>
      </c>
    </row>
    <row r="457" spans="1:7" x14ac:dyDescent="0.2">
      <c r="A457">
        <v>2014</v>
      </c>
      <c r="B457">
        <v>30</v>
      </c>
      <c r="C457" t="s">
        <v>4</v>
      </c>
      <c r="D457">
        <v>122</v>
      </c>
    </row>
    <row r="458" spans="1:7" x14ac:dyDescent="0.2">
      <c r="A458">
        <v>2014</v>
      </c>
      <c r="B458">
        <v>35</v>
      </c>
      <c r="C458" t="s">
        <v>4</v>
      </c>
      <c r="D458">
        <v>83</v>
      </c>
      <c r="F458" s="1"/>
      <c r="G458" s="1"/>
    </row>
    <row r="459" spans="1:7" x14ac:dyDescent="0.2">
      <c r="A459">
        <v>2014</v>
      </c>
      <c r="B459">
        <v>40</v>
      </c>
      <c r="C459" t="s">
        <v>4</v>
      </c>
      <c r="D459">
        <v>64</v>
      </c>
      <c r="F459" s="1"/>
      <c r="G459" s="1"/>
    </row>
    <row r="460" spans="1:7" x14ac:dyDescent="0.2">
      <c r="A460">
        <v>2014</v>
      </c>
      <c r="B460">
        <v>45</v>
      </c>
      <c r="C460" t="s">
        <v>4</v>
      </c>
      <c r="D460">
        <v>39</v>
      </c>
      <c r="F460" s="1"/>
      <c r="G460" s="1"/>
    </row>
    <row r="461" spans="1:7" x14ac:dyDescent="0.2">
      <c r="A461">
        <v>2014</v>
      </c>
      <c r="B461">
        <v>50</v>
      </c>
      <c r="C461" t="s">
        <v>4</v>
      </c>
      <c r="D461">
        <v>24</v>
      </c>
      <c r="F461" s="1"/>
      <c r="G461" s="1"/>
    </row>
    <row r="462" spans="1:7" x14ac:dyDescent="0.2">
      <c r="A462">
        <v>2014</v>
      </c>
      <c r="B462">
        <v>55</v>
      </c>
      <c r="C462" t="s">
        <v>4</v>
      </c>
      <c r="D462">
        <v>23</v>
      </c>
      <c r="F462" s="1"/>
      <c r="G462" s="1"/>
    </row>
    <row r="463" spans="1:7" x14ac:dyDescent="0.2">
      <c r="A463">
        <v>2014</v>
      </c>
      <c r="B463">
        <v>60</v>
      </c>
      <c r="C463" t="s">
        <v>4</v>
      </c>
      <c r="D463">
        <v>15</v>
      </c>
      <c r="F463" s="1"/>
      <c r="G463" s="1"/>
    </row>
    <row r="464" spans="1:7" x14ac:dyDescent="0.2">
      <c r="A464">
        <v>2014</v>
      </c>
      <c r="B464">
        <v>65</v>
      </c>
      <c r="C464" t="s">
        <v>4</v>
      </c>
      <c r="D464">
        <v>10</v>
      </c>
      <c r="F464" s="1"/>
      <c r="G464" s="1"/>
    </row>
    <row r="465" spans="1:10" x14ac:dyDescent="0.2">
      <c r="A465">
        <v>2014</v>
      </c>
      <c r="B465">
        <v>70</v>
      </c>
      <c r="C465" t="s">
        <v>4</v>
      </c>
      <c r="D465">
        <v>7</v>
      </c>
      <c r="F465" s="1"/>
      <c r="G465" s="1"/>
    </row>
    <row r="466" spans="1:10" x14ac:dyDescent="0.2">
      <c r="A466">
        <v>2014</v>
      </c>
      <c r="B466">
        <v>75</v>
      </c>
      <c r="C466" t="s">
        <v>4</v>
      </c>
      <c r="D466">
        <v>5</v>
      </c>
    </row>
    <row r="467" spans="1:10" x14ac:dyDescent="0.2">
      <c r="A467">
        <v>2014</v>
      </c>
      <c r="B467">
        <v>80</v>
      </c>
      <c r="C467" t="s">
        <v>4</v>
      </c>
      <c r="D467">
        <v>2</v>
      </c>
      <c r="H467" s="1"/>
      <c r="J467" s="1"/>
    </row>
    <row r="468" spans="1:10" x14ac:dyDescent="0.2">
      <c r="A468">
        <v>2014</v>
      </c>
      <c r="B468">
        <v>85</v>
      </c>
      <c r="C468" t="s">
        <v>4</v>
      </c>
      <c r="D468">
        <v>1</v>
      </c>
      <c r="F468" s="1"/>
      <c r="G468" s="1"/>
      <c r="H468" s="1"/>
    </row>
    <row r="469" spans="1:10" x14ac:dyDescent="0.2">
      <c r="A469">
        <v>2015</v>
      </c>
      <c r="B469">
        <v>0</v>
      </c>
      <c r="C469" t="s">
        <v>4</v>
      </c>
      <c r="D469">
        <v>0</v>
      </c>
      <c r="F469" s="1"/>
      <c r="G469" s="1"/>
    </row>
    <row r="470" spans="1:10" x14ac:dyDescent="0.2">
      <c r="A470">
        <v>2015</v>
      </c>
      <c r="B470">
        <v>1</v>
      </c>
      <c r="C470" t="s">
        <v>4</v>
      </c>
      <c r="D470">
        <v>2</v>
      </c>
      <c r="F470" s="1"/>
      <c r="G470" s="1"/>
    </row>
    <row r="471" spans="1:10" x14ac:dyDescent="0.2">
      <c r="A471">
        <v>2015</v>
      </c>
      <c r="B471">
        <v>5</v>
      </c>
      <c r="C471" t="s">
        <v>4</v>
      </c>
      <c r="D471">
        <v>0</v>
      </c>
      <c r="F471" s="1"/>
      <c r="G471" s="1"/>
    </row>
    <row r="472" spans="1:10" x14ac:dyDescent="0.2">
      <c r="A472">
        <v>2015</v>
      </c>
      <c r="B472">
        <v>10</v>
      </c>
      <c r="C472" t="s">
        <v>4</v>
      </c>
      <c r="D472">
        <v>7</v>
      </c>
      <c r="F472" s="1"/>
      <c r="G472" s="1"/>
    </row>
    <row r="473" spans="1:10" x14ac:dyDescent="0.2">
      <c r="A473">
        <v>2015</v>
      </c>
      <c r="B473">
        <v>15</v>
      </c>
      <c r="C473" t="s">
        <v>4</v>
      </c>
      <c r="D473">
        <v>79</v>
      </c>
      <c r="F473" s="1"/>
      <c r="G473" s="1"/>
    </row>
    <row r="474" spans="1:10" x14ac:dyDescent="0.2">
      <c r="A474">
        <v>2015</v>
      </c>
      <c r="B474">
        <v>20</v>
      </c>
      <c r="C474" t="s">
        <v>4</v>
      </c>
      <c r="D474">
        <v>117</v>
      </c>
      <c r="F474" s="1"/>
      <c r="G474" s="1"/>
    </row>
    <row r="475" spans="1:10" x14ac:dyDescent="0.2">
      <c r="A475">
        <v>2015</v>
      </c>
      <c r="B475">
        <v>25</v>
      </c>
      <c r="C475" t="s">
        <v>4</v>
      </c>
      <c r="D475">
        <v>137</v>
      </c>
      <c r="F475" s="1"/>
      <c r="G475" s="1"/>
    </row>
    <row r="476" spans="1:10" x14ac:dyDescent="0.2">
      <c r="A476">
        <v>2015</v>
      </c>
      <c r="B476">
        <v>30</v>
      </c>
      <c r="C476" t="s">
        <v>4</v>
      </c>
      <c r="D476">
        <v>115</v>
      </c>
      <c r="F476" s="1"/>
      <c r="G476" s="1"/>
    </row>
    <row r="477" spans="1:10" x14ac:dyDescent="0.2">
      <c r="A477">
        <v>2015</v>
      </c>
      <c r="B477">
        <v>35</v>
      </c>
      <c r="C477" t="s">
        <v>4</v>
      </c>
      <c r="D477">
        <v>113</v>
      </c>
      <c r="F477" s="1"/>
      <c r="G477" s="1"/>
    </row>
    <row r="478" spans="1:10" x14ac:dyDescent="0.2">
      <c r="A478">
        <v>2015</v>
      </c>
      <c r="B478">
        <v>40</v>
      </c>
      <c r="C478" t="s">
        <v>4</v>
      </c>
      <c r="D478">
        <v>86</v>
      </c>
      <c r="F478" s="1"/>
      <c r="G478" s="1"/>
    </row>
    <row r="479" spans="1:10" x14ac:dyDescent="0.2">
      <c r="A479">
        <v>2015</v>
      </c>
      <c r="B479">
        <v>45</v>
      </c>
      <c r="C479" t="s">
        <v>4</v>
      </c>
      <c r="D479">
        <v>53</v>
      </c>
    </row>
    <row r="480" spans="1:10" x14ac:dyDescent="0.2">
      <c r="A480">
        <v>2015</v>
      </c>
      <c r="B480">
        <v>50</v>
      </c>
      <c r="C480" t="s">
        <v>4</v>
      </c>
      <c r="D480">
        <v>33</v>
      </c>
      <c r="F480" s="1"/>
      <c r="G480" s="1"/>
    </row>
    <row r="481" spans="1:8" x14ac:dyDescent="0.2">
      <c r="A481">
        <v>2015</v>
      </c>
      <c r="B481">
        <v>55</v>
      </c>
      <c r="C481" t="s">
        <v>4</v>
      </c>
      <c r="D481">
        <v>32</v>
      </c>
      <c r="F481" s="1"/>
      <c r="G481" s="1"/>
    </row>
    <row r="482" spans="1:8" x14ac:dyDescent="0.2">
      <c r="A482">
        <v>2015</v>
      </c>
      <c r="B482">
        <v>60</v>
      </c>
      <c r="C482" t="s">
        <v>4</v>
      </c>
      <c r="D482">
        <v>17</v>
      </c>
    </row>
    <row r="483" spans="1:8" x14ac:dyDescent="0.2">
      <c r="A483">
        <v>2015</v>
      </c>
      <c r="B483">
        <v>65</v>
      </c>
      <c r="C483" t="s">
        <v>4</v>
      </c>
      <c r="D483">
        <v>17</v>
      </c>
      <c r="F483" s="1"/>
      <c r="G483" s="1"/>
    </row>
    <row r="484" spans="1:8" x14ac:dyDescent="0.2">
      <c r="A484">
        <v>2015</v>
      </c>
      <c r="B484">
        <v>70</v>
      </c>
      <c r="C484" t="s">
        <v>4</v>
      </c>
      <c r="D484">
        <v>5</v>
      </c>
      <c r="F484" s="1"/>
      <c r="G484" s="1"/>
    </row>
    <row r="485" spans="1:8" x14ac:dyDescent="0.2">
      <c r="A485">
        <v>2015</v>
      </c>
      <c r="B485">
        <v>75</v>
      </c>
      <c r="C485" t="s">
        <v>4</v>
      </c>
      <c r="D485">
        <v>3</v>
      </c>
      <c r="F485" s="1"/>
      <c r="G485" s="1"/>
    </row>
    <row r="486" spans="1:8" x14ac:dyDescent="0.2">
      <c r="A486">
        <v>2015</v>
      </c>
      <c r="B486">
        <v>80</v>
      </c>
      <c r="C486" t="s">
        <v>4</v>
      </c>
      <c r="D486">
        <v>3</v>
      </c>
      <c r="F486" s="1"/>
      <c r="G486" s="1"/>
      <c r="H486" s="1"/>
    </row>
    <row r="487" spans="1:8" x14ac:dyDescent="0.2">
      <c r="A487">
        <v>2015</v>
      </c>
      <c r="B487">
        <v>85</v>
      </c>
      <c r="C487" t="s">
        <v>4</v>
      </c>
      <c r="D487">
        <v>3</v>
      </c>
      <c r="F487" s="1"/>
      <c r="G487" s="1"/>
    </row>
    <row r="488" spans="1:8" x14ac:dyDescent="0.2">
      <c r="A488">
        <v>2016</v>
      </c>
      <c r="B488">
        <v>0</v>
      </c>
      <c r="C488" t="s">
        <v>4</v>
      </c>
      <c r="D488">
        <v>3</v>
      </c>
      <c r="F488" s="1"/>
      <c r="G488" s="1"/>
    </row>
    <row r="489" spans="1:8" x14ac:dyDescent="0.2">
      <c r="A489">
        <v>2016</v>
      </c>
      <c r="B489">
        <v>1</v>
      </c>
      <c r="C489" t="s">
        <v>4</v>
      </c>
      <c r="D489">
        <v>2</v>
      </c>
      <c r="F489" s="1"/>
      <c r="G489" s="1"/>
    </row>
    <row r="490" spans="1:8" x14ac:dyDescent="0.2">
      <c r="A490">
        <v>2016</v>
      </c>
      <c r="B490">
        <v>5</v>
      </c>
      <c r="C490" t="s">
        <v>4</v>
      </c>
      <c r="D490">
        <v>1</v>
      </c>
    </row>
    <row r="491" spans="1:8" x14ac:dyDescent="0.2">
      <c r="A491">
        <v>2016</v>
      </c>
      <c r="B491">
        <v>10</v>
      </c>
      <c r="C491" t="s">
        <v>4</v>
      </c>
      <c r="D491">
        <v>10</v>
      </c>
    </row>
    <row r="492" spans="1:8" x14ac:dyDescent="0.2">
      <c r="A492">
        <v>2016</v>
      </c>
      <c r="B492">
        <v>15</v>
      </c>
      <c r="C492" t="s">
        <v>4</v>
      </c>
      <c r="D492">
        <v>78</v>
      </c>
    </row>
    <row r="493" spans="1:8" x14ac:dyDescent="0.2">
      <c r="A493">
        <v>2016</v>
      </c>
      <c r="B493">
        <v>20</v>
      </c>
      <c r="C493" t="s">
        <v>4</v>
      </c>
      <c r="D493">
        <v>149</v>
      </c>
    </row>
    <row r="494" spans="1:8" x14ac:dyDescent="0.2">
      <c r="A494">
        <v>2016</v>
      </c>
      <c r="B494">
        <v>25</v>
      </c>
      <c r="C494" t="s">
        <v>4</v>
      </c>
      <c r="D494">
        <v>173</v>
      </c>
    </row>
    <row r="495" spans="1:8" x14ac:dyDescent="0.2">
      <c r="A495">
        <v>2016</v>
      </c>
      <c r="B495">
        <v>30</v>
      </c>
      <c r="C495" t="s">
        <v>4</v>
      </c>
      <c r="D495">
        <v>152</v>
      </c>
    </row>
    <row r="496" spans="1:8" x14ac:dyDescent="0.2">
      <c r="A496">
        <v>2016</v>
      </c>
      <c r="B496">
        <v>35</v>
      </c>
      <c r="C496" t="s">
        <v>4</v>
      </c>
      <c r="D496">
        <v>159</v>
      </c>
    </row>
    <row r="497" spans="1:8" x14ac:dyDescent="0.2">
      <c r="A497">
        <v>2016</v>
      </c>
      <c r="B497">
        <v>40</v>
      </c>
      <c r="C497" t="s">
        <v>4</v>
      </c>
      <c r="D497">
        <v>93.869158878504706</v>
      </c>
    </row>
    <row r="498" spans="1:8" x14ac:dyDescent="0.2">
      <c r="A498">
        <v>2016</v>
      </c>
      <c r="B498">
        <v>45</v>
      </c>
      <c r="C498" t="s">
        <v>4</v>
      </c>
      <c r="D498">
        <v>67</v>
      </c>
      <c r="F498" s="1"/>
      <c r="G498" s="1"/>
    </row>
    <row r="499" spans="1:8" x14ac:dyDescent="0.2">
      <c r="A499">
        <v>2016</v>
      </c>
      <c r="B499">
        <v>50</v>
      </c>
      <c r="C499" t="s">
        <v>4</v>
      </c>
      <c r="D499">
        <v>49</v>
      </c>
      <c r="F499" s="1"/>
      <c r="G499" s="1"/>
    </row>
    <row r="500" spans="1:8" x14ac:dyDescent="0.2">
      <c r="A500">
        <v>2016</v>
      </c>
      <c r="B500">
        <v>55</v>
      </c>
      <c r="C500" t="s">
        <v>4</v>
      </c>
      <c r="D500">
        <v>36</v>
      </c>
      <c r="F500" s="1"/>
      <c r="G500" s="1"/>
    </row>
    <row r="501" spans="1:8" x14ac:dyDescent="0.2">
      <c r="A501">
        <v>2016</v>
      </c>
      <c r="B501">
        <v>60</v>
      </c>
      <c r="C501" t="s">
        <v>4</v>
      </c>
      <c r="D501">
        <v>17</v>
      </c>
      <c r="F501" s="1"/>
      <c r="G501" s="1"/>
    </row>
    <row r="502" spans="1:8" x14ac:dyDescent="0.2">
      <c r="A502">
        <v>2016</v>
      </c>
      <c r="B502">
        <v>65</v>
      </c>
      <c r="C502" t="s">
        <v>4</v>
      </c>
      <c r="D502">
        <v>11</v>
      </c>
      <c r="F502" s="1"/>
      <c r="G502" s="1"/>
    </row>
    <row r="503" spans="1:8" x14ac:dyDescent="0.2">
      <c r="A503">
        <v>2016</v>
      </c>
      <c r="B503">
        <v>70</v>
      </c>
      <c r="C503" t="s">
        <v>4</v>
      </c>
      <c r="D503">
        <v>7</v>
      </c>
      <c r="F503" s="1"/>
      <c r="G503" s="1"/>
    </row>
    <row r="504" spans="1:8" x14ac:dyDescent="0.2">
      <c r="A504">
        <v>2016</v>
      </c>
      <c r="B504">
        <v>75</v>
      </c>
      <c r="C504" t="s">
        <v>4</v>
      </c>
      <c r="D504">
        <v>5</v>
      </c>
      <c r="F504" s="1"/>
      <c r="G504" s="1"/>
    </row>
    <row r="505" spans="1:8" x14ac:dyDescent="0.2">
      <c r="A505">
        <v>2016</v>
      </c>
      <c r="B505">
        <v>80</v>
      </c>
      <c r="C505" t="s">
        <v>4</v>
      </c>
      <c r="D505">
        <v>3</v>
      </c>
      <c r="F505" s="1"/>
      <c r="G505" s="1"/>
      <c r="H505" s="1"/>
    </row>
    <row r="506" spans="1:8" x14ac:dyDescent="0.2">
      <c r="A506">
        <v>2016</v>
      </c>
      <c r="B506">
        <v>85</v>
      </c>
      <c r="C506" t="s">
        <v>4</v>
      </c>
      <c r="D506">
        <v>2</v>
      </c>
      <c r="F506" s="1"/>
      <c r="G506" s="1"/>
    </row>
    <row r="507" spans="1:8" x14ac:dyDescent="0.2">
      <c r="A507">
        <v>2017</v>
      </c>
      <c r="B507">
        <v>1</v>
      </c>
      <c r="C507" t="s">
        <v>4</v>
      </c>
      <c r="D507">
        <v>4</v>
      </c>
    </row>
    <row r="508" spans="1:8" x14ac:dyDescent="0.2">
      <c r="A508">
        <v>2017</v>
      </c>
      <c r="B508">
        <v>5</v>
      </c>
      <c r="C508" t="s">
        <v>4</v>
      </c>
      <c r="D508">
        <v>3</v>
      </c>
      <c r="F508" s="1"/>
      <c r="G508" s="1"/>
    </row>
    <row r="509" spans="1:8" x14ac:dyDescent="0.2">
      <c r="A509">
        <v>2017</v>
      </c>
      <c r="B509">
        <v>10</v>
      </c>
      <c r="C509" t="s">
        <v>4</v>
      </c>
      <c r="D509">
        <v>12</v>
      </c>
      <c r="F509" s="1"/>
      <c r="G509" s="1"/>
    </row>
    <row r="510" spans="1:8" x14ac:dyDescent="0.2">
      <c r="A510">
        <v>2017</v>
      </c>
      <c r="B510">
        <v>15</v>
      </c>
      <c r="C510" t="s">
        <v>4</v>
      </c>
      <c r="D510">
        <v>174</v>
      </c>
      <c r="F510" s="1"/>
      <c r="G510" s="1"/>
    </row>
    <row r="511" spans="1:8" x14ac:dyDescent="0.2">
      <c r="A511">
        <v>2017</v>
      </c>
      <c r="B511">
        <v>20</v>
      </c>
      <c r="C511" t="s">
        <v>4</v>
      </c>
      <c r="D511">
        <v>302</v>
      </c>
      <c r="F511" s="1"/>
      <c r="G511" s="1"/>
    </row>
    <row r="512" spans="1:8" x14ac:dyDescent="0.2">
      <c r="A512">
        <v>2017</v>
      </c>
      <c r="B512">
        <v>25</v>
      </c>
      <c r="C512" t="s">
        <v>4</v>
      </c>
      <c r="D512">
        <v>327</v>
      </c>
      <c r="F512" s="1"/>
      <c r="G512" s="1"/>
    </row>
    <row r="513" spans="1:10" x14ac:dyDescent="0.2">
      <c r="A513">
        <v>2017</v>
      </c>
      <c r="B513">
        <v>30</v>
      </c>
      <c r="C513" t="s">
        <v>4</v>
      </c>
      <c r="D513">
        <v>307</v>
      </c>
      <c r="F513" s="1"/>
      <c r="G513" s="1"/>
    </row>
    <row r="514" spans="1:10" x14ac:dyDescent="0.2">
      <c r="A514">
        <v>2017</v>
      </c>
      <c r="B514">
        <v>35</v>
      </c>
      <c r="C514" t="s">
        <v>4</v>
      </c>
      <c r="D514">
        <v>264</v>
      </c>
      <c r="F514" s="1"/>
      <c r="G514" s="1"/>
    </row>
    <row r="515" spans="1:10" x14ac:dyDescent="0.2">
      <c r="A515">
        <v>2017</v>
      </c>
      <c r="B515">
        <v>40</v>
      </c>
      <c r="C515" t="s">
        <v>4</v>
      </c>
      <c r="D515">
        <v>193</v>
      </c>
      <c r="F515" s="1"/>
      <c r="G515" s="1"/>
    </row>
    <row r="516" spans="1:10" x14ac:dyDescent="0.2">
      <c r="A516">
        <v>2017</v>
      </c>
      <c r="B516">
        <v>45</v>
      </c>
      <c r="C516" t="s">
        <v>4</v>
      </c>
      <c r="D516">
        <v>128</v>
      </c>
      <c r="F516" s="1"/>
      <c r="G516" s="1"/>
    </row>
    <row r="517" spans="1:10" x14ac:dyDescent="0.2">
      <c r="A517">
        <v>2017</v>
      </c>
      <c r="B517">
        <v>50</v>
      </c>
      <c r="C517" t="s">
        <v>4</v>
      </c>
      <c r="D517">
        <v>77</v>
      </c>
      <c r="F517" s="1"/>
      <c r="G517" s="1"/>
    </row>
    <row r="518" spans="1:10" x14ac:dyDescent="0.2">
      <c r="A518">
        <v>2017</v>
      </c>
      <c r="B518">
        <v>55</v>
      </c>
      <c r="C518" t="s">
        <v>4</v>
      </c>
      <c r="D518">
        <v>46</v>
      </c>
    </row>
    <row r="519" spans="1:10" x14ac:dyDescent="0.2">
      <c r="A519">
        <v>2017</v>
      </c>
      <c r="B519">
        <v>60</v>
      </c>
      <c r="C519" t="s">
        <v>4</v>
      </c>
      <c r="D519">
        <v>28</v>
      </c>
      <c r="F519" s="1"/>
      <c r="G519" s="1"/>
    </row>
    <row r="520" spans="1:10" x14ac:dyDescent="0.2">
      <c r="A520">
        <v>2017</v>
      </c>
      <c r="B520">
        <v>65</v>
      </c>
      <c r="C520" t="s">
        <v>4</v>
      </c>
      <c r="D520">
        <v>12</v>
      </c>
      <c r="F520" s="1"/>
      <c r="G520" s="1"/>
    </row>
    <row r="521" spans="1:10" x14ac:dyDescent="0.2">
      <c r="A521">
        <v>2017</v>
      </c>
      <c r="B521">
        <v>70</v>
      </c>
      <c r="C521" t="s">
        <v>4</v>
      </c>
      <c r="D521">
        <v>8</v>
      </c>
      <c r="F521" s="1"/>
      <c r="G521" s="1"/>
    </row>
    <row r="522" spans="1:10" x14ac:dyDescent="0.2">
      <c r="A522">
        <v>2017</v>
      </c>
      <c r="B522">
        <v>75</v>
      </c>
      <c r="C522" t="s">
        <v>4</v>
      </c>
      <c r="D522">
        <v>7</v>
      </c>
    </row>
    <row r="523" spans="1:10" x14ac:dyDescent="0.2">
      <c r="A523">
        <v>2017</v>
      </c>
      <c r="B523">
        <v>80</v>
      </c>
      <c r="C523" t="s">
        <v>4</v>
      </c>
      <c r="D523">
        <v>6</v>
      </c>
      <c r="F523" s="1"/>
      <c r="G523" s="1"/>
    </row>
    <row r="524" spans="1:10" x14ac:dyDescent="0.2">
      <c r="A524">
        <v>2018</v>
      </c>
      <c r="B524">
        <v>0</v>
      </c>
      <c r="C524" t="s">
        <v>4</v>
      </c>
      <c r="D524">
        <v>3</v>
      </c>
      <c r="H524" s="1"/>
      <c r="J524" s="1"/>
    </row>
    <row r="525" spans="1:10" x14ac:dyDescent="0.2">
      <c r="A525">
        <v>2018</v>
      </c>
      <c r="B525">
        <v>1</v>
      </c>
      <c r="C525" t="s">
        <v>4</v>
      </c>
      <c r="D525">
        <v>6</v>
      </c>
      <c r="H525" s="1"/>
      <c r="J525" s="1"/>
    </row>
    <row r="526" spans="1:10" x14ac:dyDescent="0.2">
      <c r="A526">
        <v>2018</v>
      </c>
      <c r="B526">
        <v>5</v>
      </c>
      <c r="C526" t="s">
        <v>4</v>
      </c>
      <c r="D526">
        <v>3</v>
      </c>
      <c r="F526" s="1"/>
      <c r="G526" s="1"/>
      <c r="H526" s="1"/>
    </row>
    <row r="527" spans="1:10" x14ac:dyDescent="0.2">
      <c r="A527">
        <v>2018</v>
      </c>
      <c r="B527">
        <v>10</v>
      </c>
      <c r="C527" t="s">
        <v>4</v>
      </c>
      <c r="D527">
        <v>16</v>
      </c>
    </row>
    <row r="528" spans="1:10" x14ac:dyDescent="0.2">
      <c r="A528">
        <v>2018</v>
      </c>
      <c r="B528">
        <v>15</v>
      </c>
      <c r="C528" t="s">
        <v>4</v>
      </c>
      <c r="D528">
        <v>247</v>
      </c>
    </row>
    <row r="529" spans="1:8" x14ac:dyDescent="0.2">
      <c r="A529">
        <v>2018</v>
      </c>
      <c r="B529">
        <v>20</v>
      </c>
      <c r="C529" t="s">
        <v>4</v>
      </c>
      <c r="D529">
        <v>497</v>
      </c>
      <c r="F529" s="1"/>
    </row>
    <row r="530" spans="1:8" x14ac:dyDescent="0.2">
      <c r="A530">
        <v>2018</v>
      </c>
      <c r="B530">
        <v>25</v>
      </c>
      <c r="C530" t="s">
        <v>4</v>
      </c>
      <c r="D530">
        <v>543</v>
      </c>
    </row>
    <row r="531" spans="1:8" x14ac:dyDescent="0.2">
      <c r="A531">
        <v>2018</v>
      </c>
      <c r="B531">
        <v>30</v>
      </c>
      <c r="C531" t="s">
        <v>4</v>
      </c>
      <c r="D531">
        <v>477</v>
      </c>
    </row>
    <row r="532" spans="1:8" x14ac:dyDescent="0.2">
      <c r="A532">
        <v>2018</v>
      </c>
      <c r="B532">
        <v>35</v>
      </c>
      <c r="C532" t="s">
        <v>4</v>
      </c>
      <c r="D532">
        <v>387</v>
      </c>
    </row>
    <row r="533" spans="1:8" x14ac:dyDescent="0.2">
      <c r="A533">
        <v>2018</v>
      </c>
      <c r="B533">
        <v>40</v>
      </c>
      <c r="C533" t="s">
        <v>4</v>
      </c>
      <c r="D533">
        <v>302</v>
      </c>
    </row>
    <row r="534" spans="1:8" x14ac:dyDescent="0.2">
      <c r="A534">
        <v>2018</v>
      </c>
      <c r="B534">
        <v>45</v>
      </c>
      <c r="C534" t="s">
        <v>4</v>
      </c>
      <c r="D534">
        <v>201</v>
      </c>
    </row>
    <row r="535" spans="1:8" x14ac:dyDescent="0.2">
      <c r="A535">
        <v>2018</v>
      </c>
      <c r="B535">
        <v>50</v>
      </c>
      <c r="C535" t="s">
        <v>4</v>
      </c>
      <c r="D535">
        <v>132</v>
      </c>
      <c r="F535" s="1"/>
      <c r="G535" s="1"/>
    </row>
    <row r="536" spans="1:8" x14ac:dyDescent="0.2">
      <c r="A536">
        <v>2018</v>
      </c>
      <c r="B536">
        <v>55</v>
      </c>
      <c r="C536" t="s">
        <v>4</v>
      </c>
      <c r="D536">
        <v>52</v>
      </c>
      <c r="F536" s="1"/>
      <c r="G536" s="1"/>
    </row>
    <row r="537" spans="1:8" x14ac:dyDescent="0.2">
      <c r="A537">
        <v>2018</v>
      </c>
      <c r="B537">
        <v>60</v>
      </c>
      <c r="C537" t="s">
        <v>4</v>
      </c>
      <c r="D537">
        <v>41</v>
      </c>
      <c r="F537" s="1"/>
      <c r="G537" s="1"/>
    </row>
    <row r="538" spans="1:8" x14ac:dyDescent="0.2">
      <c r="A538">
        <v>2018</v>
      </c>
      <c r="B538">
        <v>65</v>
      </c>
      <c r="C538" t="s">
        <v>4</v>
      </c>
      <c r="D538">
        <v>17</v>
      </c>
      <c r="F538" s="1"/>
      <c r="G538" s="1"/>
    </row>
    <row r="539" spans="1:8" x14ac:dyDescent="0.2">
      <c r="A539">
        <v>2018</v>
      </c>
      <c r="B539">
        <v>70</v>
      </c>
      <c r="C539" t="s">
        <v>4</v>
      </c>
      <c r="D539">
        <v>8</v>
      </c>
      <c r="F539" s="1"/>
      <c r="G539" s="1"/>
    </row>
    <row r="540" spans="1:8" x14ac:dyDescent="0.2">
      <c r="A540">
        <v>2018</v>
      </c>
      <c r="B540">
        <v>75</v>
      </c>
      <c r="C540" t="s">
        <v>4</v>
      </c>
      <c r="D540">
        <v>7</v>
      </c>
    </row>
    <row r="541" spans="1:8" x14ac:dyDescent="0.2">
      <c r="A541">
        <v>2018</v>
      </c>
      <c r="B541">
        <v>80</v>
      </c>
      <c r="C541" t="s">
        <v>4</v>
      </c>
      <c r="D541">
        <v>4</v>
      </c>
      <c r="F541" s="1"/>
      <c r="G541" s="1"/>
      <c r="H541" s="1"/>
    </row>
    <row r="542" spans="1:8" x14ac:dyDescent="0.2">
      <c r="A542">
        <v>2018</v>
      </c>
      <c r="B542">
        <v>85</v>
      </c>
      <c r="C542" t="s">
        <v>4</v>
      </c>
      <c r="D542">
        <v>4</v>
      </c>
      <c r="F542" s="1"/>
      <c r="G542" s="1"/>
    </row>
    <row r="543" spans="1:8" x14ac:dyDescent="0.2">
      <c r="A543" s="53">
        <v>2019</v>
      </c>
      <c r="B543" s="53">
        <v>0</v>
      </c>
      <c r="C543" s="53" t="s">
        <v>4</v>
      </c>
      <c r="D543" s="53">
        <v>2</v>
      </c>
    </row>
    <row r="544" spans="1:8" x14ac:dyDescent="0.2">
      <c r="A544" s="53">
        <v>2019</v>
      </c>
      <c r="B544" s="53">
        <v>1</v>
      </c>
      <c r="C544" s="53" t="s">
        <v>4</v>
      </c>
      <c r="D544" s="53">
        <v>3</v>
      </c>
      <c r="F544" s="1"/>
      <c r="G544" s="1"/>
    </row>
    <row r="545" spans="1:8" x14ac:dyDescent="0.2">
      <c r="A545" s="53">
        <v>2019</v>
      </c>
      <c r="B545" s="53">
        <v>5</v>
      </c>
      <c r="C545" s="53" t="s">
        <v>4</v>
      </c>
      <c r="D545" s="53">
        <v>7</v>
      </c>
      <c r="F545" s="1"/>
      <c r="G545" s="1"/>
    </row>
    <row r="546" spans="1:8" x14ac:dyDescent="0.2">
      <c r="A546" s="53">
        <v>2019</v>
      </c>
      <c r="B546" s="53">
        <v>10</v>
      </c>
      <c r="C546" s="53" t="s">
        <v>4</v>
      </c>
      <c r="D546" s="53">
        <v>24</v>
      </c>
      <c r="F546" s="1"/>
      <c r="G546" s="1"/>
    </row>
    <row r="547" spans="1:8" x14ac:dyDescent="0.2">
      <c r="A547" s="53">
        <v>2019</v>
      </c>
      <c r="B547" s="53">
        <v>15</v>
      </c>
      <c r="C547" s="53" t="s">
        <v>4</v>
      </c>
      <c r="D547" s="53">
        <v>281</v>
      </c>
      <c r="F547" s="1"/>
      <c r="G547" s="1"/>
    </row>
    <row r="548" spans="1:8" x14ac:dyDescent="0.2">
      <c r="A548" s="53">
        <v>2019</v>
      </c>
      <c r="B548" s="53">
        <v>20</v>
      </c>
      <c r="C548" s="53" t="s">
        <v>4</v>
      </c>
      <c r="D548" s="53">
        <v>568</v>
      </c>
      <c r="F548" s="1"/>
      <c r="G548" s="1"/>
    </row>
    <row r="549" spans="1:8" x14ac:dyDescent="0.2">
      <c r="A549" s="53">
        <v>2019</v>
      </c>
      <c r="B549" s="53">
        <v>25</v>
      </c>
      <c r="C549" s="53" t="s">
        <v>4</v>
      </c>
      <c r="D549" s="53">
        <v>632</v>
      </c>
    </row>
    <row r="550" spans="1:8" x14ac:dyDescent="0.2">
      <c r="A550" s="53">
        <v>2019</v>
      </c>
      <c r="B550" s="53">
        <v>30</v>
      </c>
      <c r="C550" s="53" t="s">
        <v>4</v>
      </c>
      <c r="D550" s="53">
        <v>548</v>
      </c>
      <c r="F550" s="1"/>
      <c r="G550" s="1"/>
    </row>
    <row r="551" spans="1:8" x14ac:dyDescent="0.2">
      <c r="A551" s="53">
        <v>2019</v>
      </c>
      <c r="B551" s="53">
        <v>35</v>
      </c>
      <c r="C551" s="53" t="s">
        <v>4</v>
      </c>
      <c r="D551" s="53">
        <v>425</v>
      </c>
    </row>
    <row r="552" spans="1:8" x14ac:dyDescent="0.2">
      <c r="A552" s="53">
        <v>2019</v>
      </c>
      <c r="B552" s="53">
        <v>40</v>
      </c>
      <c r="C552" s="53" t="s">
        <v>4</v>
      </c>
      <c r="D552" s="53">
        <v>315</v>
      </c>
      <c r="F552" s="1"/>
      <c r="G552" s="1"/>
    </row>
    <row r="553" spans="1:8" x14ac:dyDescent="0.2">
      <c r="A553" s="53">
        <v>2019</v>
      </c>
      <c r="B553" s="53">
        <v>45</v>
      </c>
      <c r="C553" s="53" t="s">
        <v>4</v>
      </c>
      <c r="D553" s="53">
        <v>220</v>
      </c>
    </row>
    <row r="554" spans="1:8" x14ac:dyDescent="0.2">
      <c r="A554" s="53">
        <v>2019</v>
      </c>
      <c r="B554" s="53">
        <v>50</v>
      </c>
      <c r="C554" s="53" t="s">
        <v>4</v>
      </c>
      <c r="D554" s="53">
        <v>131</v>
      </c>
    </row>
    <row r="555" spans="1:8" x14ac:dyDescent="0.2">
      <c r="A555" s="53">
        <v>2019</v>
      </c>
      <c r="B555" s="53">
        <v>55</v>
      </c>
      <c r="C555" s="53" t="s">
        <v>4</v>
      </c>
      <c r="D555" s="53">
        <v>62</v>
      </c>
      <c r="F555" s="1"/>
      <c r="G555" s="1"/>
    </row>
    <row r="556" spans="1:8" x14ac:dyDescent="0.2">
      <c r="A556" s="53">
        <v>2019</v>
      </c>
      <c r="B556" s="53">
        <v>60</v>
      </c>
      <c r="C556" s="53" t="s">
        <v>4</v>
      </c>
      <c r="D556" s="53">
        <v>42</v>
      </c>
      <c r="F556" s="1"/>
      <c r="G556" s="1"/>
    </row>
    <row r="557" spans="1:8" x14ac:dyDescent="0.2">
      <c r="A557" s="53">
        <v>2019</v>
      </c>
      <c r="B557" s="53">
        <v>65</v>
      </c>
      <c r="C557" s="53" t="s">
        <v>4</v>
      </c>
      <c r="D557" s="53">
        <v>17</v>
      </c>
      <c r="F557" s="1"/>
      <c r="G557" s="1"/>
    </row>
    <row r="558" spans="1:8" x14ac:dyDescent="0.2">
      <c r="A558" s="53">
        <v>2019</v>
      </c>
      <c r="B558" s="53">
        <v>70</v>
      </c>
      <c r="C558" s="53" t="s">
        <v>4</v>
      </c>
      <c r="D558" s="53">
        <v>16</v>
      </c>
      <c r="F558" s="1"/>
      <c r="G558" s="1"/>
      <c r="H558" s="1"/>
    </row>
    <row r="559" spans="1:8" x14ac:dyDescent="0.2">
      <c r="A559" s="53">
        <v>2019</v>
      </c>
      <c r="B559" s="53">
        <v>75</v>
      </c>
      <c r="C559" s="53" t="s">
        <v>4</v>
      </c>
      <c r="D559" s="53">
        <v>8</v>
      </c>
    </row>
    <row r="560" spans="1:8" x14ac:dyDescent="0.2">
      <c r="A560" s="53">
        <v>2019</v>
      </c>
      <c r="B560" s="53">
        <v>80</v>
      </c>
      <c r="C560" s="53" t="s">
        <v>4</v>
      </c>
      <c r="D560" s="53">
        <v>4</v>
      </c>
    </row>
    <row r="561" spans="1:7" x14ac:dyDescent="0.2">
      <c r="A561" s="53">
        <v>2019</v>
      </c>
      <c r="B561" s="53">
        <v>85</v>
      </c>
      <c r="C561" s="53" t="s">
        <v>4</v>
      </c>
      <c r="D561" s="53">
        <v>1</v>
      </c>
      <c r="F561" s="1"/>
      <c r="G561" s="1"/>
    </row>
    <row r="562" spans="1:7" x14ac:dyDescent="0.2">
      <c r="A562">
        <v>2020</v>
      </c>
      <c r="B562">
        <v>0</v>
      </c>
      <c r="C562" t="s">
        <v>4</v>
      </c>
      <c r="D562">
        <v>0</v>
      </c>
    </row>
    <row r="563" spans="1:7" x14ac:dyDescent="0.2">
      <c r="A563">
        <v>2020</v>
      </c>
      <c r="B563">
        <v>1</v>
      </c>
      <c r="C563" t="s">
        <v>4</v>
      </c>
      <c r="D563">
        <v>6</v>
      </c>
    </row>
    <row r="564" spans="1:7" x14ac:dyDescent="0.2">
      <c r="A564">
        <v>2020</v>
      </c>
      <c r="B564">
        <v>5</v>
      </c>
      <c r="C564" t="s">
        <v>4</v>
      </c>
      <c r="D564">
        <v>3</v>
      </c>
    </row>
    <row r="565" spans="1:7" x14ac:dyDescent="0.2">
      <c r="A565">
        <v>2020</v>
      </c>
      <c r="B565">
        <v>10</v>
      </c>
      <c r="C565" t="s">
        <v>4</v>
      </c>
      <c r="D565">
        <v>29</v>
      </c>
    </row>
    <row r="566" spans="1:7" x14ac:dyDescent="0.2">
      <c r="A566">
        <v>2020</v>
      </c>
      <c r="B566">
        <v>15</v>
      </c>
      <c r="C566" t="s">
        <v>4</v>
      </c>
      <c r="D566">
        <v>379</v>
      </c>
    </row>
    <row r="567" spans="1:7" x14ac:dyDescent="0.2">
      <c r="A567">
        <v>2020</v>
      </c>
      <c r="B567">
        <v>20</v>
      </c>
      <c r="C567" t="s">
        <v>4</v>
      </c>
      <c r="D567">
        <v>643</v>
      </c>
      <c r="F567" s="1"/>
      <c r="G567" s="1"/>
    </row>
    <row r="568" spans="1:7" x14ac:dyDescent="0.2">
      <c r="A568">
        <v>2020</v>
      </c>
      <c r="B568">
        <v>25</v>
      </c>
      <c r="C568" t="s">
        <v>4</v>
      </c>
      <c r="D568">
        <v>750</v>
      </c>
    </row>
    <row r="569" spans="1:7" x14ac:dyDescent="0.2">
      <c r="A569">
        <v>2020</v>
      </c>
      <c r="B569">
        <v>30</v>
      </c>
      <c r="C569" t="s">
        <v>4</v>
      </c>
      <c r="D569">
        <v>620</v>
      </c>
      <c r="F569" s="1"/>
      <c r="G569" s="1"/>
    </row>
    <row r="570" spans="1:7" x14ac:dyDescent="0.2">
      <c r="A570">
        <v>2020</v>
      </c>
      <c r="B570">
        <v>35</v>
      </c>
      <c r="C570" t="s">
        <v>4</v>
      </c>
      <c r="D570">
        <v>529</v>
      </c>
      <c r="F570" s="1"/>
      <c r="G570" s="1"/>
    </row>
    <row r="571" spans="1:7" x14ac:dyDescent="0.2">
      <c r="A571">
        <v>2020</v>
      </c>
      <c r="B571">
        <v>40</v>
      </c>
      <c r="C571" t="s">
        <v>4</v>
      </c>
      <c r="D571">
        <v>402</v>
      </c>
      <c r="F571" s="1"/>
      <c r="G571" s="1"/>
    </row>
    <row r="572" spans="1:7" x14ac:dyDescent="0.2">
      <c r="A572">
        <v>2020</v>
      </c>
      <c r="B572">
        <v>45</v>
      </c>
      <c r="C572" t="s">
        <v>4</v>
      </c>
      <c r="D572">
        <v>284</v>
      </c>
      <c r="F572" s="1"/>
      <c r="G572" s="1"/>
    </row>
    <row r="573" spans="1:7" x14ac:dyDescent="0.2">
      <c r="A573">
        <v>2020</v>
      </c>
      <c r="B573">
        <v>50</v>
      </c>
      <c r="C573" t="s">
        <v>4</v>
      </c>
      <c r="D573">
        <v>168</v>
      </c>
      <c r="F573" s="1"/>
      <c r="G573" s="1"/>
    </row>
    <row r="574" spans="1:7" x14ac:dyDescent="0.2">
      <c r="A574">
        <v>2020</v>
      </c>
      <c r="B574">
        <v>55</v>
      </c>
      <c r="C574" t="s">
        <v>4</v>
      </c>
      <c r="D574">
        <v>99</v>
      </c>
      <c r="F574" s="1"/>
      <c r="G574" s="1"/>
    </row>
    <row r="575" spans="1:7" x14ac:dyDescent="0.2">
      <c r="A575">
        <v>2020</v>
      </c>
      <c r="B575">
        <v>60</v>
      </c>
      <c r="C575" t="s">
        <v>4</v>
      </c>
      <c r="D575">
        <v>52</v>
      </c>
      <c r="F575" s="1"/>
      <c r="G575" s="1"/>
    </row>
    <row r="576" spans="1:7" x14ac:dyDescent="0.2">
      <c r="A576">
        <v>2020</v>
      </c>
      <c r="B576">
        <v>65</v>
      </c>
      <c r="C576" t="s">
        <v>4</v>
      </c>
      <c r="D576">
        <v>33</v>
      </c>
      <c r="F576" s="1"/>
      <c r="G576" s="1"/>
    </row>
    <row r="577" spans="1:8" x14ac:dyDescent="0.2">
      <c r="A577">
        <v>2020</v>
      </c>
      <c r="B577">
        <v>70</v>
      </c>
      <c r="C577" t="s">
        <v>4</v>
      </c>
      <c r="D577">
        <v>16</v>
      </c>
      <c r="F577" s="1"/>
      <c r="G577" s="1"/>
      <c r="H577" s="1"/>
    </row>
    <row r="578" spans="1:8" x14ac:dyDescent="0.2">
      <c r="A578">
        <v>2020</v>
      </c>
      <c r="B578">
        <v>75</v>
      </c>
      <c r="C578" t="s">
        <v>4</v>
      </c>
      <c r="D578">
        <v>9</v>
      </c>
      <c r="F578" s="1"/>
      <c r="G578" s="1"/>
    </row>
    <row r="579" spans="1:8" x14ac:dyDescent="0.2">
      <c r="A579">
        <v>2020</v>
      </c>
      <c r="B579">
        <v>80</v>
      </c>
      <c r="C579" t="s">
        <v>4</v>
      </c>
      <c r="D579">
        <v>8</v>
      </c>
      <c r="F579" s="1"/>
      <c r="G579" s="1"/>
    </row>
    <row r="580" spans="1:8" x14ac:dyDescent="0.2">
      <c r="A580">
        <v>2020</v>
      </c>
      <c r="B580">
        <v>85</v>
      </c>
      <c r="C580" t="s">
        <v>4</v>
      </c>
      <c r="D580">
        <v>3</v>
      </c>
      <c r="F580" s="1"/>
      <c r="G580" s="1"/>
    </row>
    <row r="581" spans="1:8" x14ac:dyDescent="0.2">
      <c r="A581">
        <v>2021</v>
      </c>
      <c r="B581">
        <v>0</v>
      </c>
      <c r="C581" t="s">
        <v>4</v>
      </c>
      <c r="D581">
        <v>1</v>
      </c>
      <c r="F581" s="1"/>
      <c r="G581" s="1"/>
    </row>
    <row r="582" spans="1:8" x14ac:dyDescent="0.2">
      <c r="A582">
        <v>2021</v>
      </c>
      <c r="B582">
        <v>1</v>
      </c>
      <c r="C582" t="s">
        <v>4</v>
      </c>
      <c r="D582">
        <v>4</v>
      </c>
      <c r="F582" s="1"/>
      <c r="G582" s="1"/>
    </row>
    <row r="583" spans="1:8" x14ac:dyDescent="0.2">
      <c r="A583">
        <v>2021</v>
      </c>
      <c r="B583">
        <v>5</v>
      </c>
      <c r="C583" t="s">
        <v>4</v>
      </c>
      <c r="D583">
        <v>3</v>
      </c>
      <c r="F583" s="1"/>
      <c r="G583" s="1"/>
    </row>
    <row r="584" spans="1:8" x14ac:dyDescent="0.2">
      <c r="A584">
        <v>2021</v>
      </c>
      <c r="B584">
        <v>10</v>
      </c>
      <c r="C584" t="s">
        <v>4</v>
      </c>
      <c r="D584">
        <v>28</v>
      </c>
      <c r="F584" s="1"/>
      <c r="G584" s="1"/>
    </row>
    <row r="585" spans="1:8" x14ac:dyDescent="0.2">
      <c r="A585">
        <v>2021</v>
      </c>
      <c r="B585">
        <v>15</v>
      </c>
      <c r="C585" t="s">
        <v>4</v>
      </c>
      <c r="D585">
        <v>318</v>
      </c>
      <c r="F585" s="1"/>
      <c r="G585" s="1"/>
    </row>
    <row r="586" spans="1:8" x14ac:dyDescent="0.2">
      <c r="A586">
        <v>2021</v>
      </c>
      <c r="B586">
        <v>20</v>
      </c>
      <c r="C586" t="s">
        <v>4</v>
      </c>
      <c r="D586">
        <v>661</v>
      </c>
      <c r="F586" s="1"/>
      <c r="G586" s="1"/>
    </row>
    <row r="587" spans="1:8" x14ac:dyDescent="0.2">
      <c r="A587">
        <v>2021</v>
      </c>
      <c r="B587">
        <v>25</v>
      </c>
      <c r="C587" t="s">
        <v>4</v>
      </c>
      <c r="D587">
        <v>608</v>
      </c>
      <c r="F587" s="1"/>
      <c r="G587" s="1"/>
    </row>
    <row r="588" spans="1:8" x14ac:dyDescent="0.2">
      <c r="A588">
        <v>2021</v>
      </c>
      <c r="B588">
        <v>30</v>
      </c>
      <c r="C588" t="s">
        <v>4</v>
      </c>
      <c r="D588">
        <v>525</v>
      </c>
      <c r="F588" s="1"/>
      <c r="G588" s="1"/>
    </row>
    <row r="589" spans="1:8" x14ac:dyDescent="0.2">
      <c r="A589">
        <v>2021</v>
      </c>
      <c r="B589">
        <v>35</v>
      </c>
      <c r="C589" t="s">
        <v>4</v>
      </c>
      <c r="D589">
        <v>418</v>
      </c>
      <c r="F589" s="1"/>
      <c r="G589" s="1"/>
    </row>
    <row r="590" spans="1:8" x14ac:dyDescent="0.2">
      <c r="A590">
        <v>2021</v>
      </c>
      <c r="B590">
        <v>40</v>
      </c>
      <c r="C590" t="s">
        <v>4</v>
      </c>
      <c r="D590">
        <v>305</v>
      </c>
    </row>
    <row r="591" spans="1:8" x14ac:dyDescent="0.2">
      <c r="A591">
        <v>2021</v>
      </c>
      <c r="B591">
        <v>45</v>
      </c>
      <c r="C591" t="s">
        <v>4</v>
      </c>
      <c r="D591">
        <v>205</v>
      </c>
      <c r="F591" s="1"/>
      <c r="G591" s="1"/>
    </row>
    <row r="592" spans="1:8" x14ac:dyDescent="0.2">
      <c r="A592">
        <v>2021</v>
      </c>
      <c r="B592">
        <v>50</v>
      </c>
      <c r="C592" t="s">
        <v>4</v>
      </c>
      <c r="D592">
        <v>127</v>
      </c>
    </row>
    <row r="593" spans="1:8" x14ac:dyDescent="0.2">
      <c r="A593">
        <v>2021</v>
      </c>
      <c r="B593">
        <v>55</v>
      </c>
      <c r="C593" t="s">
        <v>4</v>
      </c>
      <c r="D593">
        <v>75</v>
      </c>
      <c r="F593" s="1"/>
      <c r="G593" s="1"/>
    </row>
    <row r="594" spans="1:8" x14ac:dyDescent="0.2">
      <c r="A594">
        <v>2021</v>
      </c>
      <c r="B594">
        <v>60</v>
      </c>
      <c r="C594" t="s">
        <v>4</v>
      </c>
      <c r="D594">
        <v>41</v>
      </c>
      <c r="F594" s="1"/>
      <c r="G594" s="1"/>
    </row>
    <row r="595" spans="1:8" x14ac:dyDescent="0.2">
      <c r="A595">
        <v>2021</v>
      </c>
      <c r="B595">
        <v>65</v>
      </c>
      <c r="C595" t="s">
        <v>4</v>
      </c>
      <c r="D595">
        <v>28</v>
      </c>
    </row>
    <row r="596" spans="1:8" x14ac:dyDescent="0.2">
      <c r="A596">
        <v>2021</v>
      </c>
      <c r="B596">
        <v>70</v>
      </c>
      <c r="C596" t="s">
        <v>4</v>
      </c>
      <c r="D596">
        <v>11</v>
      </c>
      <c r="F596" s="1"/>
      <c r="G596" s="1"/>
      <c r="H596" s="1"/>
    </row>
    <row r="597" spans="1:8" x14ac:dyDescent="0.2">
      <c r="A597">
        <v>2021</v>
      </c>
      <c r="B597">
        <v>75</v>
      </c>
      <c r="C597" t="s">
        <v>4</v>
      </c>
      <c r="D597">
        <v>7</v>
      </c>
      <c r="F597" s="1"/>
      <c r="G597" s="1"/>
    </row>
    <row r="598" spans="1:8" x14ac:dyDescent="0.2">
      <c r="A598">
        <v>2021</v>
      </c>
      <c r="B598">
        <v>80</v>
      </c>
      <c r="C598" t="s">
        <v>4</v>
      </c>
      <c r="D598">
        <v>4</v>
      </c>
    </row>
    <row r="599" spans="1:8" x14ac:dyDescent="0.2">
      <c r="A599">
        <v>2021</v>
      </c>
      <c r="B599">
        <v>85</v>
      </c>
      <c r="C599" t="s">
        <v>4</v>
      </c>
      <c r="D599">
        <v>1</v>
      </c>
      <c r="F599" s="1"/>
      <c r="G599" s="1"/>
    </row>
    <row r="600" spans="1:8" x14ac:dyDescent="0.2">
      <c r="A600">
        <v>2022</v>
      </c>
      <c r="B600">
        <v>0</v>
      </c>
      <c r="C600" t="s">
        <v>4</v>
      </c>
      <c r="D600">
        <v>1</v>
      </c>
    </row>
    <row r="601" spans="1:8" x14ac:dyDescent="0.2">
      <c r="A601">
        <v>2022</v>
      </c>
      <c r="B601">
        <v>1</v>
      </c>
      <c r="C601" t="s">
        <v>4</v>
      </c>
      <c r="D601">
        <v>2</v>
      </c>
    </row>
    <row r="602" spans="1:8" x14ac:dyDescent="0.2">
      <c r="A602">
        <v>2022</v>
      </c>
      <c r="B602">
        <v>5</v>
      </c>
      <c r="C602" t="s">
        <v>4</v>
      </c>
      <c r="D602">
        <v>3</v>
      </c>
    </row>
    <row r="603" spans="1:8" x14ac:dyDescent="0.2">
      <c r="A603">
        <v>2022</v>
      </c>
      <c r="B603">
        <v>10</v>
      </c>
      <c r="C603" t="s">
        <v>4</v>
      </c>
      <c r="D603">
        <v>28</v>
      </c>
    </row>
    <row r="604" spans="1:8" x14ac:dyDescent="0.2">
      <c r="A604">
        <v>2022</v>
      </c>
      <c r="B604">
        <v>15</v>
      </c>
      <c r="C604" t="s">
        <v>4</v>
      </c>
      <c r="D604">
        <v>298</v>
      </c>
    </row>
    <row r="605" spans="1:8" x14ac:dyDescent="0.2">
      <c r="A605">
        <v>2022</v>
      </c>
      <c r="B605">
        <v>20</v>
      </c>
      <c r="C605" t="s">
        <v>4</v>
      </c>
      <c r="D605">
        <v>519</v>
      </c>
    </row>
    <row r="606" spans="1:8" x14ac:dyDescent="0.2">
      <c r="A606">
        <v>2022</v>
      </c>
      <c r="B606">
        <v>25</v>
      </c>
      <c r="C606" t="s">
        <v>4</v>
      </c>
      <c r="D606">
        <v>550</v>
      </c>
    </row>
    <row r="607" spans="1:8" x14ac:dyDescent="0.2">
      <c r="A607">
        <v>2022</v>
      </c>
      <c r="B607">
        <v>30</v>
      </c>
      <c r="C607" t="s">
        <v>4</v>
      </c>
      <c r="D607">
        <v>488</v>
      </c>
      <c r="F607" s="1"/>
      <c r="G607" s="1"/>
    </row>
    <row r="608" spans="1:8" x14ac:dyDescent="0.2">
      <c r="A608">
        <v>2022</v>
      </c>
      <c r="B608">
        <v>35</v>
      </c>
      <c r="C608" t="s">
        <v>4</v>
      </c>
      <c r="D608">
        <v>357</v>
      </c>
      <c r="F608" s="1"/>
      <c r="G608" s="1"/>
    </row>
    <row r="609" spans="1:8" x14ac:dyDescent="0.2">
      <c r="A609">
        <v>2022</v>
      </c>
      <c r="B609">
        <v>40</v>
      </c>
      <c r="C609" t="s">
        <v>4</v>
      </c>
      <c r="D609">
        <v>311</v>
      </c>
      <c r="F609" s="1"/>
      <c r="G609" s="1"/>
    </row>
    <row r="610" spans="1:8" x14ac:dyDescent="0.2">
      <c r="A610">
        <v>2022</v>
      </c>
      <c r="B610">
        <v>45</v>
      </c>
      <c r="C610" t="s">
        <v>4</v>
      </c>
      <c r="D610">
        <v>193</v>
      </c>
      <c r="F610" s="1"/>
      <c r="G610" s="1"/>
    </row>
    <row r="611" spans="1:8" x14ac:dyDescent="0.2">
      <c r="A611">
        <v>2022</v>
      </c>
      <c r="B611">
        <v>50</v>
      </c>
      <c r="C611" t="s">
        <v>4</v>
      </c>
      <c r="D611">
        <v>165</v>
      </c>
      <c r="F611" s="1"/>
      <c r="G611" s="1"/>
    </row>
    <row r="612" spans="1:8" x14ac:dyDescent="0.2">
      <c r="A612">
        <v>2022</v>
      </c>
      <c r="B612">
        <v>55</v>
      </c>
      <c r="C612" t="s">
        <v>4</v>
      </c>
      <c r="D612">
        <v>88</v>
      </c>
      <c r="F612" s="1"/>
      <c r="G612" s="1"/>
    </row>
    <row r="613" spans="1:8" x14ac:dyDescent="0.2">
      <c r="A613">
        <v>2022</v>
      </c>
      <c r="B613">
        <v>60</v>
      </c>
      <c r="C613" t="s">
        <v>4</v>
      </c>
      <c r="D613">
        <v>42</v>
      </c>
      <c r="F613" s="1"/>
      <c r="G613" s="1"/>
    </row>
    <row r="614" spans="1:8" x14ac:dyDescent="0.2">
      <c r="A614">
        <v>2022</v>
      </c>
      <c r="B614">
        <v>65</v>
      </c>
      <c r="C614" t="s">
        <v>4</v>
      </c>
      <c r="D614">
        <v>22</v>
      </c>
      <c r="F614" s="1"/>
      <c r="G614" s="1"/>
    </row>
    <row r="615" spans="1:8" x14ac:dyDescent="0.2">
      <c r="A615">
        <v>2022</v>
      </c>
      <c r="B615">
        <v>70</v>
      </c>
      <c r="C615" t="s">
        <v>4</v>
      </c>
      <c r="D615">
        <v>17</v>
      </c>
      <c r="F615" s="1"/>
      <c r="G615" s="1"/>
      <c r="H615" s="1"/>
    </row>
    <row r="616" spans="1:8" x14ac:dyDescent="0.2">
      <c r="A616">
        <v>2022</v>
      </c>
      <c r="B616">
        <v>75</v>
      </c>
      <c r="C616" t="s">
        <v>4</v>
      </c>
      <c r="D616">
        <v>10</v>
      </c>
      <c r="F616" s="1"/>
      <c r="G616" s="1"/>
    </row>
    <row r="617" spans="1:8" x14ac:dyDescent="0.2">
      <c r="A617">
        <v>2022</v>
      </c>
      <c r="B617">
        <v>80</v>
      </c>
      <c r="C617" t="s">
        <v>4</v>
      </c>
      <c r="D617">
        <v>1</v>
      </c>
      <c r="F617" s="1"/>
      <c r="G617" s="1"/>
    </row>
    <row r="618" spans="1:8" x14ac:dyDescent="0.2">
      <c r="A618">
        <v>2022</v>
      </c>
      <c r="B618">
        <v>85</v>
      </c>
      <c r="C618" t="s">
        <v>4</v>
      </c>
      <c r="D618">
        <v>5</v>
      </c>
    </row>
    <row r="619" spans="1:8" x14ac:dyDescent="0.2">
      <c r="A619">
        <v>2023</v>
      </c>
      <c r="B619">
        <v>0</v>
      </c>
      <c r="C619" t="s">
        <v>4</v>
      </c>
      <c r="D619">
        <v>2</v>
      </c>
      <c r="F619" s="1"/>
      <c r="G619" s="1"/>
    </row>
    <row r="620" spans="1:8" x14ac:dyDescent="0.2">
      <c r="A620">
        <v>2023</v>
      </c>
      <c r="B620">
        <v>1</v>
      </c>
      <c r="C620" t="s">
        <v>4</v>
      </c>
      <c r="D620">
        <v>2</v>
      </c>
      <c r="F620" s="1"/>
      <c r="G620" s="1"/>
    </row>
    <row r="621" spans="1:8" x14ac:dyDescent="0.2">
      <c r="A621">
        <v>2023</v>
      </c>
      <c r="B621">
        <v>5</v>
      </c>
      <c r="C621" t="s">
        <v>4</v>
      </c>
      <c r="D621">
        <v>5</v>
      </c>
      <c r="F621" s="1"/>
      <c r="G621" s="1"/>
    </row>
    <row r="622" spans="1:8" x14ac:dyDescent="0.2">
      <c r="A622">
        <v>2023</v>
      </c>
      <c r="B622">
        <v>10</v>
      </c>
      <c r="C622" t="s">
        <v>4</v>
      </c>
      <c r="D622">
        <v>25</v>
      </c>
      <c r="F622" s="1"/>
      <c r="G622" s="1"/>
    </row>
    <row r="623" spans="1:8" x14ac:dyDescent="0.2">
      <c r="A623">
        <v>2023</v>
      </c>
      <c r="B623">
        <v>15</v>
      </c>
      <c r="C623" t="s">
        <v>4</v>
      </c>
      <c r="D623">
        <v>296</v>
      </c>
      <c r="F623" s="1"/>
      <c r="G623" s="1"/>
    </row>
    <row r="624" spans="1:8" x14ac:dyDescent="0.2">
      <c r="A624">
        <v>2023</v>
      </c>
      <c r="B624">
        <v>20</v>
      </c>
      <c r="C624" t="s">
        <v>4</v>
      </c>
      <c r="D624">
        <v>525</v>
      </c>
      <c r="F624" s="1"/>
      <c r="G624" s="1"/>
    </row>
    <row r="625" spans="1:8" x14ac:dyDescent="0.2">
      <c r="A625">
        <v>2023</v>
      </c>
      <c r="B625">
        <v>25</v>
      </c>
      <c r="C625" t="s">
        <v>4</v>
      </c>
      <c r="D625">
        <v>569</v>
      </c>
    </row>
    <row r="626" spans="1:8" x14ac:dyDescent="0.2">
      <c r="A626">
        <v>2023</v>
      </c>
      <c r="B626">
        <v>30</v>
      </c>
      <c r="C626" t="s">
        <v>4</v>
      </c>
      <c r="D626">
        <v>462</v>
      </c>
      <c r="F626" s="1"/>
      <c r="G626" s="1"/>
    </row>
    <row r="627" spans="1:8" x14ac:dyDescent="0.2">
      <c r="A627">
        <v>2023</v>
      </c>
      <c r="B627">
        <v>35</v>
      </c>
      <c r="C627" t="s">
        <v>4</v>
      </c>
      <c r="D627">
        <v>401</v>
      </c>
      <c r="F627" s="1"/>
      <c r="G627" s="1"/>
    </row>
    <row r="628" spans="1:8" x14ac:dyDescent="0.2">
      <c r="A628">
        <v>2023</v>
      </c>
      <c r="B628">
        <v>40</v>
      </c>
      <c r="C628" t="s">
        <v>4</v>
      </c>
      <c r="D628">
        <v>309</v>
      </c>
    </row>
    <row r="629" spans="1:8" x14ac:dyDescent="0.2">
      <c r="A629">
        <v>2023</v>
      </c>
      <c r="B629">
        <v>45</v>
      </c>
      <c r="C629" t="s">
        <v>4</v>
      </c>
      <c r="D629">
        <v>202</v>
      </c>
    </row>
    <row r="630" spans="1:8" x14ac:dyDescent="0.2">
      <c r="A630">
        <v>2023</v>
      </c>
      <c r="B630">
        <v>50</v>
      </c>
      <c r="C630" t="s">
        <v>4</v>
      </c>
      <c r="D630">
        <v>133</v>
      </c>
    </row>
    <row r="631" spans="1:8" x14ac:dyDescent="0.2">
      <c r="A631">
        <v>2023</v>
      </c>
      <c r="B631">
        <v>55</v>
      </c>
      <c r="C631" t="s">
        <v>4</v>
      </c>
      <c r="D631">
        <v>85</v>
      </c>
    </row>
    <row r="632" spans="1:8" x14ac:dyDescent="0.2">
      <c r="A632">
        <v>2023</v>
      </c>
      <c r="B632">
        <v>60</v>
      </c>
      <c r="C632" t="s">
        <v>4</v>
      </c>
      <c r="D632">
        <v>40</v>
      </c>
    </row>
    <row r="633" spans="1:8" x14ac:dyDescent="0.2">
      <c r="A633">
        <v>2023</v>
      </c>
      <c r="B633">
        <v>65</v>
      </c>
      <c r="C633" t="s">
        <v>4</v>
      </c>
      <c r="D633">
        <v>26</v>
      </c>
      <c r="F633" s="1"/>
      <c r="G633" s="1"/>
    </row>
    <row r="634" spans="1:8" x14ac:dyDescent="0.2">
      <c r="A634">
        <v>2023</v>
      </c>
      <c r="B634">
        <v>70</v>
      </c>
      <c r="C634" t="s">
        <v>4</v>
      </c>
      <c r="D634">
        <v>19</v>
      </c>
      <c r="F634" s="1"/>
      <c r="G634" s="1"/>
      <c r="H634" s="1"/>
    </row>
    <row r="635" spans="1:8" x14ac:dyDescent="0.2">
      <c r="A635">
        <v>2023</v>
      </c>
      <c r="B635">
        <v>75</v>
      </c>
      <c r="C635" t="s">
        <v>4</v>
      </c>
      <c r="D635">
        <v>11</v>
      </c>
    </row>
    <row r="636" spans="1:8" x14ac:dyDescent="0.2">
      <c r="A636">
        <v>2023</v>
      </c>
      <c r="B636">
        <v>80</v>
      </c>
      <c r="C636" t="s">
        <v>4</v>
      </c>
      <c r="D636">
        <v>5</v>
      </c>
    </row>
    <row r="637" spans="1:8" x14ac:dyDescent="0.2">
      <c r="A637">
        <v>2023</v>
      </c>
      <c r="B637">
        <v>85</v>
      </c>
      <c r="C637" t="s">
        <v>4</v>
      </c>
      <c r="D637">
        <v>1</v>
      </c>
      <c r="F637" s="1"/>
      <c r="G637" s="1"/>
    </row>
    <row r="638" spans="1:8" x14ac:dyDescent="0.2">
      <c r="A638">
        <v>2024</v>
      </c>
      <c r="B638">
        <v>0</v>
      </c>
      <c r="C638" t="s">
        <v>4</v>
      </c>
      <c r="D638">
        <v>0</v>
      </c>
    </row>
    <row r="639" spans="1:8" x14ac:dyDescent="0.2">
      <c r="A639">
        <v>2024</v>
      </c>
      <c r="B639">
        <v>1</v>
      </c>
      <c r="C639" t="s">
        <v>4</v>
      </c>
      <c r="D639">
        <v>3</v>
      </c>
    </row>
    <row r="640" spans="1:8" x14ac:dyDescent="0.2">
      <c r="A640">
        <v>2024</v>
      </c>
      <c r="B640">
        <v>5</v>
      </c>
      <c r="C640" t="s">
        <v>4</v>
      </c>
      <c r="D640">
        <v>6</v>
      </c>
    </row>
    <row r="641" spans="1:8" x14ac:dyDescent="0.2">
      <c r="A641">
        <v>2024</v>
      </c>
      <c r="B641">
        <v>10</v>
      </c>
      <c r="C641" t="s">
        <v>4</v>
      </c>
      <c r="D641">
        <v>26</v>
      </c>
    </row>
    <row r="642" spans="1:8" x14ac:dyDescent="0.2">
      <c r="A642">
        <v>2024</v>
      </c>
      <c r="B642">
        <v>15</v>
      </c>
      <c r="C642" t="s">
        <v>4</v>
      </c>
      <c r="D642">
        <v>323</v>
      </c>
    </row>
    <row r="643" spans="1:8" x14ac:dyDescent="0.2">
      <c r="A643">
        <v>2024</v>
      </c>
      <c r="B643">
        <v>20</v>
      </c>
      <c r="C643" t="s">
        <v>4</v>
      </c>
      <c r="D643">
        <v>515</v>
      </c>
      <c r="F643" s="1"/>
      <c r="G643" s="1"/>
    </row>
    <row r="644" spans="1:8" x14ac:dyDescent="0.2">
      <c r="A644">
        <v>2024</v>
      </c>
      <c r="B644">
        <v>25</v>
      </c>
      <c r="C644" t="s">
        <v>4</v>
      </c>
      <c r="D644">
        <v>527</v>
      </c>
      <c r="F644" s="1"/>
      <c r="G644" s="1"/>
    </row>
    <row r="645" spans="1:8" x14ac:dyDescent="0.2">
      <c r="A645">
        <v>2024</v>
      </c>
      <c r="B645">
        <v>30</v>
      </c>
      <c r="C645" t="s">
        <v>4</v>
      </c>
      <c r="D645">
        <v>493</v>
      </c>
    </row>
    <row r="646" spans="1:8" x14ac:dyDescent="0.2">
      <c r="A646">
        <v>2024</v>
      </c>
      <c r="B646">
        <v>35</v>
      </c>
      <c r="C646" t="s">
        <v>4</v>
      </c>
      <c r="D646">
        <v>408</v>
      </c>
      <c r="F646" s="1"/>
      <c r="G646" s="1"/>
    </row>
    <row r="647" spans="1:8" x14ac:dyDescent="0.2">
      <c r="A647">
        <v>2024</v>
      </c>
      <c r="B647">
        <v>40</v>
      </c>
      <c r="C647" t="s">
        <v>4</v>
      </c>
      <c r="D647">
        <v>319</v>
      </c>
      <c r="F647" s="1"/>
      <c r="G647" s="1"/>
    </row>
    <row r="648" spans="1:8" x14ac:dyDescent="0.2">
      <c r="A648">
        <v>2024</v>
      </c>
      <c r="B648">
        <v>45</v>
      </c>
      <c r="C648" t="s">
        <v>4</v>
      </c>
      <c r="D648">
        <v>209</v>
      </c>
      <c r="F648" s="1"/>
      <c r="G648" s="1"/>
    </row>
    <row r="649" spans="1:8" x14ac:dyDescent="0.2">
      <c r="A649">
        <v>2024</v>
      </c>
      <c r="B649">
        <v>50</v>
      </c>
      <c r="C649" t="s">
        <v>4</v>
      </c>
      <c r="D649">
        <v>164</v>
      </c>
      <c r="F649" s="1"/>
      <c r="G649" s="1"/>
    </row>
    <row r="650" spans="1:8" x14ac:dyDescent="0.2">
      <c r="A650">
        <v>2024</v>
      </c>
      <c r="B650">
        <v>55</v>
      </c>
      <c r="C650" t="s">
        <v>4</v>
      </c>
      <c r="D650">
        <v>95</v>
      </c>
      <c r="F650" s="1"/>
      <c r="G650" s="1"/>
    </row>
    <row r="651" spans="1:8" x14ac:dyDescent="0.2">
      <c r="A651">
        <v>2024</v>
      </c>
      <c r="B651">
        <v>60</v>
      </c>
      <c r="C651" t="s">
        <v>4</v>
      </c>
      <c r="D651">
        <v>65</v>
      </c>
      <c r="F651" s="1"/>
      <c r="G651" s="1"/>
    </row>
    <row r="652" spans="1:8" x14ac:dyDescent="0.2">
      <c r="A652">
        <v>2024</v>
      </c>
      <c r="B652">
        <v>65</v>
      </c>
      <c r="C652" t="s">
        <v>4</v>
      </c>
      <c r="D652">
        <v>35</v>
      </c>
    </row>
    <row r="653" spans="1:8" x14ac:dyDescent="0.2">
      <c r="A653">
        <v>2024</v>
      </c>
      <c r="B653">
        <v>70</v>
      </c>
      <c r="C653" t="s">
        <v>4</v>
      </c>
      <c r="D653">
        <v>21</v>
      </c>
      <c r="F653" s="1"/>
      <c r="G653" s="1"/>
      <c r="H653" s="1"/>
    </row>
    <row r="654" spans="1:8" x14ac:dyDescent="0.2">
      <c r="A654">
        <v>2024</v>
      </c>
      <c r="B654">
        <v>75</v>
      </c>
      <c r="C654" t="s">
        <v>4</v>
      </c>
      <c r="D654">
        <v>9</v>
      </c>
      <c r="F654" s="1"/>
      <c r="G654" s="1"/>
    </row>
    <row r="655" spans="1:8" x14ac:dyDescent="0.2">
      <c r="A655">
        <v>2024</v>
      </c>
      <c r="B655">
        <v>80</v>
      </c>
      <c r="C655" t="s">
        <v>4</v>
      </c>
      <c r="D655">
        <v>4</v>
      </c>
      <c r="F655" s="1"/>
      <c r="G655" s="1"/>
    </row>
    <row r="656" spans="1:8" x14ac:dyDescent="0.2">
      <c r="A656">
        <v>2024</v>
      </c>
      <c r="B656">
        <v>85</v>
      </c>
      <c r="C656" t="s">
        <v>4</v>
      </c>
      <c r="D656">
        <v>4</v>
      </c>
      <c r="F656" s="1"/>
      <c r="G656" s="1"/>
    </row>
    <row r="657" spans="1:8" x14ac:dyDescent="0.2">
      <c r="A657">
        <v>1990</v>
      </c>
      <c r="B657">
        <v>0</v>
      </c>
      <c r="C657" t="s">
        <v>5</v>
      </c>
      <c r="D657">
        <v>2</v>
      </c>
      <c r="F657" s="1"/>
      <c r="G657" s="1"/>
    </row>
    <row r="658" spans="1:8" x14ac:dyDescent="0.2">
      <c r="A658">
        <v>1990</v>
      </c>
      <c r="B658">
        <v>1</v>
      </c>
      <c r="C658" t="s">
        <v>5</v>
      </c>
      <c r="D658">
        <v>3</v>
      </c>
    </row>
    <row r="659" spans="1:8" x14ac:dyDescent="0.2">
      <c r="A659">
        <v>1990</v>
      </c>
      <c r="B659">
        <v>5</v>
      </c>
      <c r="C659" t="s">
        <v>5</v>
      </c>
      <c r="D659">
        <v>3</v>
      </c>
      <c r="F659" s="1"/>
      <c r="G659" s="1"/>
    </row>
    <row r="660" spans="1:8" x14ac:dyDescent="0.2">
      <c r="A660">
        <v>1990</v>
      </c>
      <c r="B660">
        <v>10</v>
      </c>
      <c r="C660" t="s">
        <v>5</v>
      </c>
      <c r="D660">
        <v>3</v>
      </c>
      <c r="F660" s="1"/>
      <c r="G660" s="1"/>
    </row>
    <row r="661" spans="1:8" x14ac:dyDescent="0.2">
      <c r="A661">
        <v>1990</v>
      </c>
      <c r="B661">
        <v>15</v>
      </c>
      <c r="C661" t="s">
        <v>5</v>
      </c>
      <c r="D661">
        <v>7</v>
      </c>
      <c r="F661" s="1"/>
      <c r="G661" s="1"/>
    </row>
    <row r="662" spans="1:8" x14ac:dyDescent="0.2">
      <c r="A662">
        <v>1990</v>
      </c>
      <c r="B662">
        <v>20</v>
      </c>
      <c r="C662" t="s">
        <v>5</v>
      </c>
      <c r="D662">
        <v>4</v>
      </c>
      <c r="F662" s="1"/>
      <c r="G662" s="1"/>
    </row>
    <row r="663" spans="1:8" x14ac:dyDescent="0.2">
      <c r="A663">
        <v>1990</v>
      </c>
      <c r="B663">
        <v>25</v>
      </c>
      <c r="C663" t="s">
        <v>5</v>
      </c>
      <c r="D663">
        <v>5.1041666666666696</v>
      </c>
      <c r="F663" s="1"/>
      <c r="G663" s="1"/>
    </row>
    <row r="664" spans="1:8" x14ac:dyDescent="0.2">
      <c r="A664">
        <v>1990</v>
      </c>
      <c r="B664">
        <v>30</v>
      </c>
      <c r="C664" t="s">
        <v>5</v>
      </c>
      <c r="D664">
        <v>2</v>
      </c>
    </row>
    <row r="665" spans="1:8" x14ac:dyDescent="0.2">
      <c r="A665">
        <v>1990</v>
      </c>
      <c r="B665">
        <v>35</v>
      </c>
      <c r="C665" t="s">
        <v>5</v>
      </c>
      <c r="D665">
        <v>2</v>
      </c>
      <c r="F665" s="1"/>
      <c r="G665" s="1"/>
    </row>
    <row r="666" spans="1:8" x14ac:dyDescent="0.2">
      <c r="A666">
        <v>1990</v>
      </c>
      <c r="B666">
        <v>40</v>
      </c>
      <c r="C666" t="s">
        <v>5</v>
      </c>
      <c r="D666">
        <v>3</v>
      </c>
    </row>
    <row r="667" spans="1:8" x14ac:dyDescent="0.2">
      <c r="A667">
        <v>1990</v>
      </c>
      <c r="B667">
        <v>45</v>
      </c>
      <c r="C667" t="s">
        <v>5</v>
      </c>
      <c r="D667">
        <v>0</v>
      </c>
    </row>
    <row r="668" spans="1:8" x14ac:dyDescent="0.2">
      <c r="A668">
        <v>1990</v>
      </c>
      <c r="B668">
        <v>50</v>
      </c>
      <c r="C668" t="s">
        <v>5</v>
      </c>
      <c r="D668">
        <v>1</v>
      </c>
      <c r="F668" s="1"/>
      <c r="G668" s="1"/>
    </row>
    <row r="669" spans="1:8" x14ac:dyDescent="0.2">
      <c r="A669">
        <v>1990</v>
      </c>
      <c r="B669">
        <v>55</v>
      </c>
      <c r="C669" t="s">
        <v>5</v>
      </c>
      <c r="D669">
        <v>2</v>
      </c>
    </row>
    <row r="670" spans="1:8" x14ac:dyDescent="0.2">
      <c r="A670">
        <v>1990</v>
      </c>
      <c r="B670">
        <v>60</v>
      </c>
      <c r="C670" t="s">
        <v>5</v>
      </c>
      <c r="D670">
        <v>1</v>
      </c>
      <c r="F670" s="1"/>
      <c r="G670" s="1"/>
    </row>
    <row r="671" spans="1:8" x14ac:dyDescent="0.2">
      <c r="A671">
        <v>1990</v>
      </c>
      <c r="B671">
        <v>65</v>
      </c>
      <c r="C671" t="s">
        <v>5</v>
      </c>
      <c r="D671">
        <v>0</v>
      </c>
      <c r="F671" s="1"/>
      <c r="G671" s="1"/>
    </row>
    <row r="672" spans="1:8" x14ac:dyDescent="0.2">
      <c r="A672">
        <v>1990</v>
      </c>
      <c r="B672">
        <v>70</v>
      </c>
      <c r="C672" t="s">
        <v>5</v>
      </c>
      <c r="D672">
        <v>0</v>
      </c>
      <c r="F672" s="1"/>
      <c r="G672" s="1"/>
      <c r="H672" s="1"/>
    </row>
    <row r="673" spans="1:7" x14ac:dyDescent="0.2">
      <c r="A673">
        <v>1990</v>
      </c>
      <c r="B673">
        <v>75</v>
      </c>
      <c r="C673" t="s">
        <v>5</v>
      </c>
      <c r="D673">
        <v>2</v>
      </c>
      <c r="F673" s="1"/>
      <c r="G673" s="1"/>
    </row>
    <row r="674" spans="1:7" x14ac:dyDescent="0.2">
      <c r="A674">
        <v>1990</v>
      </c>
      <c r="B674">
        <v>80</v>
      </c>
      <c r="C674" t="s">
        <v>5</v>
      </c>
      <c r="D674">
        <v>0</v>
      </c>
      <c r="F674" s="1"/>
      <c r="G674" s="1"/>
    </row>
    <row r="675" spans="1:7" x14ac:dyDescent="0.2">
      <c r="A675">
        <v>1990</v>
      </c>
      <c r="B675">
        <v>85</v>
      </c>
      <c r="C675" t="s">
        <v>5</v>
      </c>
      <c r="D675">
        <v>0</v>
      </c>
      <c r="F675" s="1"/>
      <c r="G675" s="1"/>
    </row>
    <row r="676" spans="1:7" x14ac:dyDescent="0.2">
      <c r="A676">
        <v>1991</v>
      </c>
      <c r="B676">
        <v>0</v>
      </c>
      <c r="C676" t="s">
        <v>5</v>
      </c>
      <c r="D676">
        <v>2</v>
      </c>
      <c r="F676" s="1"/>
    </row>
    <row r="677" spans="1:7" x14ac:dyDescent="0.2">
      <c r="A677">
        <v>1991</v>
      </c>
      <c r="B677">
        <v>1</v>
      </c>
      <c r="C677" t="s">
        <v>5</v>
      </c>
      <c r="D677">
        <v>1</v>
      </c>
    </row>
    <row r="678" spans="1:7" x14ac:dyDescent="0.2">
      <c r="A678">
        <v>1991</v>
      </c>
      <c r="B678">
        <v>5</v>
      </c>
      <c r="C678" t="s">
        <v>5</v>
      </c>
      <c r="D678">
        <v>1</v>
      </c>
    </row>
    <row r="679" spans="1:7" x14ac:dyDescent="0.2">
      <c r="A679">
        <v>1991</v>
      </c>
      <c r="B679">
        <v>10</v>
      </c>
      <c r="C679" t="s">
        <v>5</v>
      </c>
      <c r="D679">
        <v>1</v>
      </c>
      <c r="F679" s="1"/>
    </row>
    <row r="680" spans="1:7" x14ac:dyDescent="0.2">
      <c r="A680">
        <v>1991</v>
      </c>
      <c r="B680">
        <v>15</v>
      </c>
      <c r="C680" t="s">
        <v>5</v>
      </c>
      <c r="D680">
        <v>3</v>
      </c>
    </row>
    <row r="681" spans="1:7" x14ac:dyDescent="0.2">
      <c r="A681">
        <v>1991</v>
      </c>
      <c r="B681">
        <v>20</v>
      </c>
      <c r="C681" t="s">
        <v>5</v>
      </c>
      <c r="D681">
        <v>5</v>
      </c>
    </row>
    <row r="682" spans="1:7" x14ac:dyDescent="0.2">
      <c r="A682">
        <v>1991</v>
      </c>
      <c r="B682">
        <v>25</v>
      </c>
      <c r="C682" t="s">
        <v>5</v>
      </c>
      <c r="D682">
        <v>2.0384615384615401</v>
      </c>
      <c r="F682" s="1"/>
      <c r="G682" s="1"/>
    </row>
    <row r="683" spans="1:7" x14ac:dyDescent="0.2">
      <c r="A683">
        <v>1991</v>
      </c>
      <c r="B683">
        <v>30</v>
      </c>
      <c r="C683" t="s">
        <v>5</v>
      </c>
      <c r="D683">
        <v>5</v>
      </c>
      <c r="F683" s="1"/>
      <c r="G683" s="1"/>
    </row>
    <row r="684" spans="1:7" x14ac:dyDescent="0.2">
      <c r="A684">
        <v>1991</v>
      </c>
      <c r="B684">
        <v>35</v>
      </c>
      <c r="C684" t="s">
        <v>5</v>
      </c>
      <c r="D684">
        <v>2</v>
      </c>
      <c r="F684" s="1"/>
      <c r="G684" s="1"/>
    </row>
    <row r="685" spans="1:7" x14ac:dyDescent="0.2">
      <c r="A685">
        <v>1991</v>
      </c>
      <c r="B685">
        <v>40</v>
      </c>
      <c r="C685" t="s">
        <v>5</v>
      </c>
      <c r="D685">
        <v>1</v>
      </c>
      <c r="F685" s="1"/>
      <c r="G685" s="1"/>
    </row>
    <row r="686" spans="1:7" x14ac:dyDescent="0.2">
      <c r="A686">
        <v>1991</v>
      </c>
      <c r="B686">
        <v>45</v>
      </c>
      <c r="C686" t="s">
        <v>5</v>
      </c>
      <c r="D686">
        <v>2</v>
      </c>
      <c r="F686" s="1"/>
      <c r="G686" s="1"/>
    </row>
    <row r="687" spans="1:7" x14ac:dyDescent="0.2">
      <c r="A687">
        <v>1991</v>
      </c>
      <c r="B687">
        <v>50</v>
      </c>
      <c r="C687" t="s">
        <v>5</v>
      </c>
      <c r="D687">
        <v>0</v>
      </c>
      <c r="F687" s="1"/>
      <c r="G687" s="1"/>
    </row>
    <row r="688" spans="1:7" x14ac:dyDescent="0.2">
      <c r="A688">
        <v>1991</v>
      </c>
      <c r="B688">
        <v>55</v>
      </c>
      <c r="C688" t="s">
        <v>5</v>
      </c>
      <c r="D688">
        <v>0</v>
      </c>
      <c r="F688" s="1"/>
      <c r="G688" s="1"/>
    </row>
    <row r="689" spans="1:8" x14ac:dyDescent="0.2">
      <c r="A689">
        <v>1991</v>
      </c>
      <c r="B689">
        <v>60</v>
      </c>
      <c r="C689" t="s">
        <v>5</v>
      </c>
      <c r="D689">
        <v>1</v>
      </c>
    </row>
    <row r="690" spans="1:8" x14ac:dyDescent="0.2">
      <c r="A690">
        <v>1991</v>
      </c>
      <c r="B690">
        <v>65</v>
      </c>
      <c r="C690" t="s">
        <v>5</v>
      </c>
      <c r="D690">
        <v>2</v>
      </c>
      <c r="F690" s="1"/>
      <c r="G690" s="1"/>
    </row>
    <row r="691" spans="1:8" x14ac:dyDescent="0.2">
      <c r="A691">
        <v>1991</v>
      </c>
      <c r="B691">
        <v>70</v>
      </c>
      <c r="C691" t="s">
        <v>5</v>
      </c>
      <c r="D691">
        <v>0</v>
      </c>
      <c r="F691" s="1"/>
      <c r="G691" s="1"/>
      <c r="H691" s="1"/>
    </row>
    <row r="692" spans="1:8" x14ac:dyDescent="0.2">
      <c r="A692">
        <v>1991</v>
      </c>
      <c r="B692">
        <v>75</v>
      </c>
      <c r="C692" t="s">
        <v>5</v>
      </c>
      <c r="D692">
        <v>0</v>
      </c>
      <c r="F692" s="1"/>
      <c r="G692" s="1"/>
    </row>
    <row r="693" spans="1:8" x14ac:dyDescent="0.2">
      <c r="A693">
        <v>1991</v>
      </c>
      <c r="B693">
        <v>80</v>
      </c>
      <c r="C693" t="s">
        <v>5</v>
      </c>
      <c r="D693">
        <v>2</v>
      </c>
    </row>
    <row r="694" spans="1:8" x14ac:dyDescent="0.2">
      <c r="A694">
        <v>1991</v>
      </c>
      <c r="B694">
        <v>85</v>
      </c>
      <c r="C694" t="s">
        <v>5</v>
      </c>
      <c r="D694">
        <v>0</v>
      </c>
      <c r="F694" s="1"/>
      <c r="G694" s="1"/>
    </row>
    <row r="695" spans="1:8" x14ac:dyDescent="0.2">
      <c r="A695">
        <v>1992</v>
      </c>
      <c r="B695">
        <v>0</v>
      </c>
      <c r="C695" t="s">
        <v>5</v>
      </c>
      <c r="D695">
        <v>2</v>
      </c>
      <c r="F695" s="1"/>
      <c r="G695" s="1"/>
    </row>
    <row r="696" spans="1:8" x14ac:dyDescent="0.2">
      <c r="A696">
        <v>1992</v>
      </c>
      <c r="B696">
        <v>1</v>
      </c>
      <c r="C696" t="s">
        <v>5</v>
      </c>
      <c r="D696">
        <v>0</v>
      </c>
      <c r="F696" s="1"/>
      <c r="G696" s="1"/>
    </row>
    <row r="697" spans="1:8" x14ac:dyDescent="0.2">
      <c r="A697">
        <v>1992</v>
      </c>
      <c r="B697">
        <v>5</v>
      </c>
      <c r="C697" t="s">
        <v>5</v>
      </c>
      <c r="D697">
        <v>3</v>
      </c>
      <c r="F697" s="1"/>
      <c r="G697" s="1"/>
    </row>
    <row r="698" spans="1:8" x14ac:dyDescent="0.2">
      <c r="A698">
        <v>1992</v>
      </c>
      <c r="B698">
        <v>10</v>
      </c>
      <c r="C698" t="s">
        <v>5</v>
      </c>
      <c r="D698">
        <v>0</v>
      </c>
      <c r="F698" s="1"/>
      <c r="G698" s="1"/>
    </row>
    <row r="699" spans="1:8" x14ac:dyDescent="0.2">
      <c r="A699">
        <v>1992</v>
      </c>
      <c r="B699">
        <v>15</v>
      </c>
      <c r="C699" t="s">
        <v>5</v>
      </c>
      <c r="D699">
        <v>4</v>
      </c>
      <c r="F699" s="1"/>
      <c r="G699" s="1"/>
    </row>
    <row r="700" spans="1:8" x14ac:dyDescent="0.2">
      <c r="A700">
        <v>1992</v>
      </c>
      <c r="B700">
        <v>20</v>
      </c>
      <c r="C700" t="s">
        <v>5</v>
      </c>
      <c r="D700">
        <v>2</v>
      </c>
      <c r="F700" s="1"/>
      <c r="G700" s="1"/>
    </row>
    <row r="701" spans="1:8" x14ac:dyDescent="0.2">
      <c r="A701">
        <v>1992</v>
      </c>
      <c r="B701">
        <v>25</v>
      </c>
      <c r="C701" t="s">
        <v>5</v>
      </c>
      <c r="D701">
        <v>1</v>
      </c>
      <c r="F701" s="1"/>
      <c r="G701" s="1"/>
    </row>
    <row r="702" spans="1:8" x14ac:dyDescent="0.2">
      <c r="A702">
        <v>1992</v>
      </c>
      <c r="B702">
        <v>30</v>
      </c>
      <c r="C702" t="s">
        <v>5</v>
      </c>
      <c r="D702">
        <v>4</v>
      </c>
      <c r="F702" s="1"/>
      <c r="G702" s="1"/>
    </row>
    <row r="703" spans="1:8" x14ac:dyDescent="0.2">
      <c r="A703">
        <v>1992</v>
      </c>
      <c r="B703">
        <v>35</v>
      </c>
      <c r="C703" t="s">
        <v>5</v>
      </c>
      <c r="D703">
        <v>4</v>
      </c>
      <c r="F703" s="1"/>
      <c r="G703" s="1"/>
    </row>
    <row r="704" spans="1:8" x14ac:dyDescent="0.2">
      <c r="A704">
        <v>1992</v>
      </c>
      <c r="B704">
        <v>40</v>
      </c>
      <c r="C704" t="s">
        <v>5</v>
      </c>
      <c r="D704">
        <v>3</v>
      </c>
      <c r="F704" s="1"/>
      <c r="G704" s="1"/>
    </row>
    <row r="705" spans="1:8" x14ac:dyDescent="0.2">
      <c r="A705">
        <v>1992</v>
      </c>
      <c r="B705">
        <v>45</v>
      </c>
      <c r="C705" t="s">
        <v>5</v>
      </c>
      <c r="D705">
        <v>2</v>
      </c>
    </row>
    <row r="706" spans="1:8" x14ac:dyDescent="0.2">
      <c r="A706">
        <v>1992</v>
      </c>
      <c r="B706">
        <v>50</v>
      </c>
      <c r="C706" t="s">
        <v>5</v>
      </c>
      <c r="D706">
        <v>1</v>
      </c>
    </row>
    <row r="707" spans="1:8" x14ac:dyDescent="0.2">
      <c r="A707">
        <v>1992</v>
      </c>
      <c r="B707">
        <v>55</v>
      </c>
      <c r="C707" t="s">
        <v>5</v>
      </c>
      <c r="D707">
        <v>0</v>
      </c>
    </row>
    <row r="708" spans="1:8" x14ac:dyDescent="0.2">
      <c r="A708">
        <v>1992</v>
      </c>
      <c r="B708">
        <v>60</v>
      </c>
      <c r="C708" t="s">
        <v>5</v>
      </c>
      <c r="D708">
        <v>1</v>
      </c>
      <c r="F708" s="1"/>
      <c r="G708" s="1"/>
    </row>
    <row r="709" spans="1:8" x14ac:dyDescent="0.2">
      <c r="A709">
        <v>1992</v>
      </c>
      <c r="B709">
        <v>65</v>
      </c>
      <c r="C709" t="s">
        <v>5</v>
      </c>
      <c r="D709">
        <v>5</v>
      </c>
      <c r="F709" s="1"/>
      <c r="G709" s="1"/>
    </row>
    <row r="710" spans="1:8" x14ac:dyDescent="0.2">
      <c r="A710">
        <v>1992</v>
      </c>
      <c r="B710">
        <v>70</v>
      </c>
      <c r="C710" t="s">
        <v>5</v>
      </c>
      <c r="D710">
        <v>0</v>
      </c>
      <c r="F710" s="1"/>
      <c r="G710" s="1"/>
      <c r="H710" s="1"/>
    </row>
    <row r="711" spans="1:8" x14ac:dyDescent="0.2">
      <c r="A711">
        <v>1992</v>
      </c>
      <c r="B711">
        <v>75</v>
      </c>
      <c r="C711" t="s">
        <v>5</v>
      </c>
      <c r="D711">
        <v>0</v>
      </c>
      <c r="F711" s="1"/>
      <c r="G711" s="1"/>
    </row>
    <row r="712" spans="1:8" x14ac:dyDescent="0.2">
      <c r="A712">
        <v>1992</v>
      </c>
      <c r="B712">
        <v>80</v>
      </c>
      <c r="C712" t="s">
        <v>5</v>
      </c>
      <c r="D712">
        <v>0</v>
      </c>
      <c r="F712" s="1"/>
      <c r="G712" s="1"/>
    </row>
    <row r="713" spans="1:8" x14ac:dyDescent="0.2">
      <c r="A713">
        <v>1993</v>
      </c>
      <c r="B713">
        <v>0</v>
      </c>
      <c r="C713" t="s">
        <v>5</v>
      </c>
      <c r="D713">
        <v>1</v>
      </c>
      <c r="F713" s="1"/>
      <c r="G713" s="1"/>
    </row>
    <row r="714" spans="1:8" x14ac:dyDescent="0.2">
      <c r="A714">
        <v>1993</v>
      </c>
      <c r="B714">
        <v>1</v>
      </c>
      <c r="C714" t="s">
        <v>5</v>
      </c>
      <c r="D714">
        <v>2</v>
      </c>
    </row>
    <row r="715" spans="1:8" x14ac:dyDescent="0.2">
      <c r="A715">
        <v>1993</v>
      </c>
      <c r="B715">
        <v>5</v>
      </c>
      <c r="C715" t="s">
        <v>5</v>
      </c>
      <c r="D715">
        <v>0</v>
      </c>
    </row>
    <row r="716" spans="1:8" x14ac:dyDescent="0.2">
      <c r="A716">
        <v>1993</v>
      </c>
      <c r="B716">
        <v>10</v>
      </c>
      <c r="C716" t="s">
        <v>5</v>
      </c>
      <c r="D716">
        <v>2</v>
      </c>
    </row>
    <row r="717" spans="1:8" x14ac:dyDescent="0.2">
      <c r="A717">
        <v>1993</v>
      </c>
      <c r="B717">
        <v>15</v>
      </c>
      <c r="C717" t="s">
        <v>5</v>
      </c>
      <c r="D717">
        <v>3</v>
      </c>
    </row>
    <row r="718" spans="1:8" x14ac:dyDescent="0.2">
      <c r="A718">
        <v>1993</v>
      </c>
      <c r="B718">
        <v>20</v>
      </c>
      <c r="C718" t="s">
        <v>5</v>
      </c>
      <c r="D718">
        <v>3</v>
      </c>
    </row>
    <row r="719" spans="1:8" x14ac:dyDescent="0.2">
      <c r="A719">
        <v>1993</v>
      </c>
      <c r="B719">
        <v>25</v>
      </c>
      <c r="C719" t="s">
        <v>5</v>
      </c>
      <c r="D719">
        <v>5</v>
      </c>
    </row>
    <row r="720" spans="1:8" x14ac:dyDescent="0.2">
      <c r="A720">
        <v>1993</v>
      </c>
      <c r="B720">
        <v>30</v>
      </c>
      <c r="C720" t="s">
        <v>5</v>
      </c>
      <c r="D720">
        <v>3</v>
      </c>
    </row>
    <row r="721" spans="1:8" x14ac:dyDescent="0.2">
      <c r="A721">
        <v>1993</v>
      </c>
      <c r="B721">
        <v>35</v>
      </c>
      <c r="C721" t="s">
        <v>5</v>
      </c>
      <c r="D721">
        <v>2</v>
      </c>
    </row>
    <row r="722" spans="1:8" x14ac:dyDescent="0.2">
      <c r="A722">
        <v>1993</v>
      </c>
      <c r="B722">
        <v>40</v>
      </c>
      <c r="C722" t="s">
        <v>5</v>
      </c>
      <c r="D722">
        <v>5.15625</v>
      </c>
    </row>
    <row r="723" spans="1:8" x14ac:dyDescent="0.2">
      <c r="A723">
        <v>1993</v>
      </c>
      <c r="B723">
        <v>45</v>
      </c>
      <c r="C723" t="s">
        <v>5</v>
      </c>
      <c r="D723">
        <v>3</v>
      </c>
      <c r="F723" s="1"/>
      <c r="G723" s="1"/>
    </row>
    <row r="724" spans="1:8" x14ac:dyDescent="0.2">
      <c r="A724">
        <v>1993</v>
      </c>
      <c r="B724">
        <v>50</v>
      </c>
      <c r="C724" t="s">
        <v>5</v>
      </c>
      <c r="D724">
        <v>0</v>
      </c>
      <c r="F724" s="1"/>
      <c r="G724" s="1"/>
    </row>
    <row r="725" spans="1:8" x14ac:dyDescent="0.2">
      <c r="A725">
        <v>1993</v>
      </c>
      <c r="B725">
        <v>55</v>
      </c>
      <c r="C725" t="s">
        <v>5</v>
      </c>
      <c r="D725">
        <v>1</v>
      </c>
      <c r="F725" s="1"/>
      <c r="G725" s="1"/>
    </row>
    <row r="726" spans="1:8" x14ac:dyDescent="0.2">
      <c r="A726">
        <v>1993</v>
      </c>
      <c r="B726">
        <v>60</v>
      </c>
      <c r="C726" t="s">
        <v>5</v>
      </c>
      <c r="D726">
        <v>2</v>
      </c>
      <c r="F726" s="1"/>
      <c r="G726" s="1"/>
    </row>
    <row r="727" spans="1:8" x14ac:dyDescent="0.2">
      <c r="A727">
        <v>1993</v>
      </c>
      <c r="B727">
        <v>65</v>
      </c>
      <c r="C727" t="s">
        <v>5</v>
      </c>
      <c r="D727">
        <v>1</v>
      </c>
      <c r="F727" s="1"/>
      <c r="G727" s="1"/>
    </row>
    <row r="728" spans="1:8" x14ac:dyDescent="0.2">
      <c r="A728">
        <v>1993</v>
      </c>
      <c r="B728">
        <v>70</v>
      </c>
      <c r="C728" t="s">
        <v>5</v>
      </c>
      <c r="D728">
        <v>1</v>
      </c>
      <c r="F728" s="1"/>
      <c r="G728" s="1"/>
    </row>
    <row r="729" spans="1:8" x14ac:dyDescent="0.2">
      <c r="A729">
        <v>1993</v>
      </c>
      <c r="B729">
        <v>75</v>
      </c>
      <c r="C729" t="s">
        <v>5</v>
      </c>
      <c r="D729">
        <v>1</v>
      </c>
      <c r="F729" s="1"/>
      <c r="G729" s="1"/>
      <c r="H729" s="1"/>
    </row>
    <row r="730" spans="1:8" x14ac:dyDescent="0.2">
      <c r="A730">
        <v>1993</v>
      </c>
      <c r="B730">
        <v>80</v>
      </c>
      <c r="C730" t="s">
        <v>5</v>
      </c>
      <c r="D730">
        <v>1</v>
      </c>
      <c r="F730" s="1"/>
      <c r="G730" s="1"/>
    </row>
    <row r="731" spans="1:8" x14ac:dyDescent="0.2">
      <c r="A731">
        <v>1993</v>
      </c>
      <c r="B731">
        <v>85</v>
      </c>
      <c r="C731" t="s">
        <v>5</v>
      </c>
      <c r="D731">
        <v>0</v>
      </c>
      <c r="F731" s="1"/>
      <c r="G731" s="1"/>
    </row>
    <row r="732" spans="1:8" x14ac:dyDescent="0.2">
      <c r="A732">
        <v>1994</v>
      </c>
      <c r="B732">
        <v>0</v>
      </c>
      <c r="C732" t="s">
        <v>5</v>
      </c>
      <c r="D732">
        <v>1</v>
      </c>
      <c r="F732" s="1"/>
      <c r="G732" s="1"/>
    </row>
    <row r="733" spans="1:8" x14ac:dyDescent="0.2">
      <c r="A733">
        <v>1994</v>
      </c>
      <c r="B733">
        <v>5</v>
      </c>
      <c r="C733" t="s">
        <v>5</v>
      </c>
      <c r="D733">
        <v>0</v>
      </c>
      <c r="F733" s="1"/>
      <c r="G733" s="1"/>
    </row>
    <row r="734" spans="1:8" x14ac:dyDescent="0.2">
      <c r="A734">
        <v>1994</v>
      </c>
      <c r="B734">
        <v>10</v>
      </c>
      <c r="C734" t="s">
        <v>5</v>
      </c>
      <c r="D734">
        <v>0</v>
      </c>
      <c r="F734" s="1"/>
      <c r="G734" s="1"/>
    </row>
    <row r="735" spans="1:8" x14ac:dyDescent="0.2">
      <c r="A735">
        <v>1994</v>
      </c>
      <c r="B735">
        <v>15</v>
      </c>
      <c r="C735" t="s">
        <v>5</v>
      </c>
      <c r="D735">
        <v>5</v>
      </c>
      <c r="F735" s="1"/>
      <c r="G735" s="1"/>
    </row>
    <row r="736" spans="1:8" x14ac:dyDescent="0.2">
      <c r="A736">
        <v>1994</v>
      </c>
      <c r="B736">
        <v>20</v>
      </c>
      <c r="C736" t="s">
        <v>5</v>
      </c>
      <c r="D736">
        <v>4</v>
      </c>
      <c r="F736" s="1"/>
      <c r="G736" s="1"/>
    </row>
    <row r="737" spans="1:8" x14ac:dyDescent="0.2">
      <c r="A737">
        <v>1994</v>
      </c>
      <c r="B737">
        <v>25</v>
      </c>
      <c r="C737" t="s">
        <v>5</v>
      </c>
      <c r="D737">
        <v>2</v>
      </c>
      <c r="F737" s="1"/>
      <c r="G737" s="1"/>
    </row>
    <row r="738" spans="1:8" x14ac:dyDescent="0.2">
      <c r="A738">
        <v>1994</v>
      </c>
      <c r="B738">
        <v>30</v>
      </c>
      <c r="C738" t="s">
        <v>5</v>
      </c>
      <c r="D738">
        <v>4</v>
      </c>
      <c r="F738" s="1"/>
      <c r="G738" s="1"/>
    </row>
    <row r="739" spans="1:8" x14ac:dyDescent="0.2">
      <c r="A739">
        <v>1994</v>
      </c>
      <c r="B739">
        <v>35</v>
      </c>
      <c r="C739" t="s">
        <v>5</v>
      </c>
      <c r="D739">
        <v>2</v>
      </c>
      <c r="F739" s="1"/>
      <c r="G739" s="1"/>
    </row>
    <row r="740" spans="1:8" x14ac:dyDescent="0.2">
      <c r="A740">
        <v>1994</v>
      </c>
      <c r="B740">
        <v>40</v>
      </c>
      <c r="C740" t="s">
        <v>5</v>
      </c>
      <c r="D740">
        <v>3</v>
      </c>
      <c r="F740" s="1"/>
      <c r="G740" s="1"/>
    </row>
    <row r="741" spans="1:8" x14ac:dyDescent="0.2">
      <c r="A741">
        <v>1994</v>
      </c>
      <c r="B741">
        <v>45</v>
      </c>
      <c r="C741" t="s">
        <v>5</v>
      </c>
      <c r="D741">
        <v>2</v>
      </c>
      <c r="F741" s="1"/>
      <c r="G741" s="1"/>
    </row>
    <row r="742" spans="1:8" x14ac:dyDescent="0.2">
      <c r="A742">
        <v>1994</v>
      </c>
      <c r="B742">
        <v>50</v>
      </c>
      <c r="C742" t="s">
        <v>5</v>
      </c>
      <c r="D742">
        <v>0</v>
      </c>
      <c r="F742" s="1"/>
      <c r="G742" s="1"/>
    </row>
    <row r="743" spans="1:8" x14ac:dyDescent="0.2">
      <c r="A743">
        <v>1994</v>
      </c>
      <c r="B743">
        <v>55</v>
      </c>
      <c r="C743" t="s">
        <v>5</v>
      </c>
      <c r="D743">
        <v>0</v>
      </c>
      <c r="F743" s="1"/>
      <c r="G743" s="1"/>
    </row>
    <row r="744" spans="1:8" x14ac:dyDescent="0.2">
      <c r="A744">
        <v>1994</v>
      </c>
      <c r="B744">
        <v>60</v>
      </c>
      <c r="C744" t="s">
        <v>5</v>
      </c>
      <c r="D744">
        <v>2</v>
      </c>
      <c r="F744" s="1"/>
      <c r="G744" s="1"/>
    </row>
    <row r="745" spans="1:8" x14ac:dyDescent="0.2">
      <c r="A745">
        <v>1994</v>
      </c>
      <c r="B745">
        <v>65</v>
      </c>
      <c r="C745" t="s">
        <v>5</v>
      </c>
      <c r="D745">
        <v>0</v>
      </c>
      <c r="F745" s="1"/>
      <c r="G745" s="1"/>
    </row>
    <row r="746" spans="1:8" x14ac:dyDescent="0.2">
      <c r="A746">
        <v>1994</v>
      </c>
      <c r="B746">
        <v>70</v>
      </c>
      <c r="C746" t="s">
        <v>5</v>
      </c>
      <c r="D746">
        <v>0</v>
      </c>
      <c r="F746" s="1"/>
      <c r="G746" s="1"/>
    </row>
    <row r="747" spans="1:8" x14ac:dyDescent="0.2">
      <c r="A747">
        <v>1994</v>
      </c>
      <c r="B747">
        <v>75</v>
      </c>
      <c r="C747" t="s">
        <v>5</v>
      </c>
      <c r="D747">
        <v>2</v>
      </c>
      <c r="F747" s="1"/>
      <c r="G747" s="1"/>
    </row>
    <row r="748" spans="1:8" x14ac:dyDescent="0.2">
      <c r="A748">
        <v>1994</v>
      </c>
      <c r="B748">
        <v>80</v>
      </c>
      <c r="C748" t="s">
        <v>5</v>
      </c>
      <c r="D748">
        <v>0</v>
      </c>
      <c r="F748" s="1"/>
      <c r="G748" s="1"/>
      <c r="H748" s="1"/>
    </row>
    <row r="749" spans="1:8" x14ac:dyDescent="0.2">
      <c r="A749">
        <v>1994</v>
      </c>
      <c r="B749">
        <v>85</v>
      </c>
      <c r="C749" t="s">
        <v>5</v>
      </c>
      <c r="D749">
        <v>2</v>
      </c>
      <c r="F749" s="1"/>
      <c r="G749" s="1"/>
    </row>
    <row r="750" spans="1:8" x14ac:dyDescent="0.2">
      <c r="A750">
        <v>1995</v>
      </c>
      <c r="B750">
        <v>0</v>
      </c>
      <c r="C750" t="s">
        <v>5</v>
      </c>
      <c r="D750">
        <v>2</v>
      </c>
      <c r="F750" s="1"/>
      <c r="G750" s="1"/>
    </row>
    <row r="751" spans="1:8" x14ac:dyDescent="0.2">
      <c r="A751">
        <v>1995</v>
      </c>
      <c r="B751">
        <v>1</v>
      </c>
      <c r="C751" t="s">
        <v>5</v>
      </c>
      <c r="D751">
        <v>0</v>
      </c>
    </row>
    <row r="752" spans="1:8" x14ac:dyDescent="0.2">
      <c r="A752">
        <v>1995</v>
      </c>
      <c r="B752">
        <v>5</v>
      </c>
      <c r="C752" t="s">
        <v>5</v>
      </c>
      <c r="D752">
        <v>1</v>
      </c>
    </row>
    <row r="753" spans="1:8" x14ac:dyDescent="0.2">
      <c r="A753">
        <v>1995</v>
      </c>
      <c r="B753">
        <v>10</v>
      </c>
      <c r="C753" t="s">
        <v>5</v>
      </c>
      <c r="D753">
        <v>2</v>
      </c>
    </row>
    <row r="754" spans="1:8" x14ac:dyDescent="0.2">
      <c r="A754">
        <v>1995</v>
      </c>
      <c r="B754">
        <v>15</v>
      </c>
      <c r="C754" t="s">
        <v>5</v>
      </c>
      <c r="D754">
        <v>5</v>
      </c>
    </row>
    <row r="755" spans="1:8" x14ac:dyDescent="0.2">
      <c r="A755">
        <v>1995</v>
      </c>
      <c r="B755">
        <v>20</v>
      </c>
      <c r="C755" t="s">
        <v>5</v>
      </c>
      <c r="D755">
        <v>2</v>
      </c>
      <c r="F755" s="1"/>
    </row>
    <row r="756" spans="1:8" x14ac:dyDescent="0.2">
      <c r="A756">
        <v>1995</v>
      </c>
      <c r="B756">
        <v>25</v>
      </c>
      <c r="C756" t="s">
        <v>5</v>
      </c>
      <c r="D756">
        <v>4</v>
      </c>
    </row>
    <row r="757" spans="1:8" x14ac:dyDescent="0.2">
      <c r="A757">
        <v>1995</v>
      </c>
      <c r="B757">
        <v>30</v>
      </c>
      <c r="C757" t="s">
        <v>5</v>
      </c>
      <c r="D757">
        <v>4</v>
      </c>
    </row>
    <row r="758" spans="1:8" x14ac:dyDescent="0.2">
      <c r="A758">
        <v>1995</v>
      </c>
      <c r="B758">
        <v>35</v>
      </c>
      <c r="C758" t="s">
        <v>5</v>
      </c>
      <c r="D758">
        <v>4</v>
      </c>
    </row>
    <row r="759" spans="1:8" x14ac:dyDescent="0.2">
      <c r="A759">
        <v>1995</v>
      </c>
      <c r="B759">
        <v>40</v>
      </c>
      <c r="C759" t="s">
        <v>5</v>
      </c>
      <c r="D759">
        <v>1</v>
      </c>
    </row>
    <row r="760" spans="1:8" x14ac:dyDescent="0.2">
      <c r="A760">
        <v>1995</v>
      </c>
      <c r="B760">
        <v>45</v>
      </c>
      <c r="C760" t="s">
        <v>5</v>
      </c>
      <c r="D760">
        <v>1</v>
      </c>
      <c r="F760" s="1"/>
      <c r="G760" s="1"/>
    </row>
    <row r="761" spans="1:8" x14ac:dyDescent="0.2">
      <c r="A761">
        <v>1995</v>
      </c>
      <c r="B761">
        <v>50</v>
      </c>
      <c r="C761" t="s">
        <v>5</v>
      </c>
      <c r="D761">
        <v>1</v>
      </c>
    </row>
    <row r="762" spans="1:8" x14ac:dyDescent="0.2">
      <c r="A762">
        <v>1995</v>
      </c>
      <c r="B762">
        <v>55</v>
      </c>
      <c r="C762" t="s">
        <v>5</v>
      </c>
      <c r="D762">
        <v>0</v>
      </c>
      <c r="F762" s="1"/>
      <c r="G762" s="1"/>
    </row>
    <row r="763" spans="1:8" x14ac:dyDescent="0.2">
      <c r="A763">
        <v>1995</v>
      </c>
      <c r="B763">
        <v>60</v>
      </c>
      <c r="C763" t="s">
        <v>5</v>
      </c>
      <c r="D763">
        <v>0</v>
      </c>
      <c r="F763" s="1"/>
      <c r="G763" s="1"/>
    </row>
    <row r="764" spans="1:8" x14ac:dyDescent="0.2">
      <c r="A764">
        <v>1995</v>
      </c>
      <c r="B764">
        <v>65</v>
      </c>
      <c r="C764" t="s">
        <v>5</v>
      </c>
      <c r="D764">
        <v>1</v>
      </c>
      <c r="F764" s="1"/>
      <c r="G764" s="1"/>
    </row>
    <row r="765" spans="1:8" x14ac:dyDescent="0.2">
      <c r="A765">
        <v>1995</v>
      </c>
      <c r="B765">
        <v>70</v>
      </c>
      <c r="C765" t="s">
        <v>5</v>
      </c>
      <c r="D765">
        <v>0</v>
      </c>
      <c r="F765" s="1"/>
      <c r="G765" s="1"/>
    </row>
    <row r="766" spans="1:8" x14ac:dyDescent="0.2">
      <c r="A766">
        <v>1995</v>
      </c>
      <c r="B766">
        <v>75</v>
      </c>
      <c r="C766" t="s">
        <v>5</v>
      </c>
      <c r="D766">
        <v>0</v>
      </c>
      <c r="F766" s="1"/>
      <c r="G766" s="1"/>
      <c r="H766" s="1"/>
    </row>
    <row r="767" spans="1:8" x14ac:dyDescent="0.2">
      <c r="A767">
        <v>1995</v>
      </c>
      <c r="B767">
        <v>80</v>
      </c>
      <c r="C767" t="s">
        <v>5</v>
      </c>
      <c r="D767">
        <v>0</v>
      </c>
      <c r="F767" s="1"/>
      <c r="G767" s="1"/>
    </row>
    <row r="768" spans="1:8" x14ac:dyDescent="0.2">
      <c r="A768">
        <v>1995</v>
      </c>
      <c r="B768">
        <v>85</v>
      </c>
      <c r="C768" t="s">
        <v>5</v>
      </c>
      <c r="D768">
        <v>1</v>
      </c>
    </row>
    <row r="769" spans="1:8" x14ac:dyDescent="0.2">
      <c r="A769">
        <v>1996</v>
      </c>
      <c r="B769">
        <v>0</v>
      </c>
      <c r="C769" t="s">
        <v>5</v>
      </c>
      <c r="D769">
        <v>3</v>
      </c>
      <c r="F769" s="1"/>
      <c r="G769" s="1"/>
    </row>
    <row r="770" spans="1:8" x14ac:dyDescent="0.2">
      <c r="A770">
        <v>1996</v>
      </c>
      <c r="B770">
        <v>1</v>
      </c>
      <c r="C770" t="s">
        <v>5</v>
      </c>
      <c r="D770">
        <v>2</v>
      </c>
      <c r="F770" s="1"/>
      <c r="G770" s="1"/>
    </row>
    <row r="771" spans="1:8" x14ac:dyDescent="0.2">
      <c r="A771">
        <v>1996</v>
      </c>
      <c r="B771">
        <v>5</v>
      </c>
      <c r="C771" t="s">
        <v>5</v>
      </c>
      <c r="D771">
        <v>2</v>
      </c>
      <c r="F771" s="1"/>
      <c r="G771" s="1"/>
    </row>
    <row r="772" spans="1:8" x14ac:dyDescent="0.2">
      <c r="A772">
        <v>1996</v>
      </c>
      <c r="B772">
        <v>10</v>
      </c>
      <c r="C772" t="s">
        <v>5</v>
      </c>
      <c r="D772">
        <v>0</v>
      </c>
      <c r="F772" s="1"/>
      <c r="G772" s="1"/>
    </row>
    <row r="773" spans="1:8" x14ac:dyDescent="0.2">
      <c r="A773">
        <v>1996</v>
      </c>
      <c r="B773">
        <v>15</v>
      </c>
      <c r="C773" t="s">
        <v>5</v>
      </c>
      <c r="D773">
        <v>2</v>
      </c>
      <c r="F773" s="1"/>
      <c r="G773" s="1"/>
    </row>
    <row r="774" spans="1:8" x14ac:dyDescent="0.2">
      <c r="A774">
        <v>1996</v>
      </c>
      <c r="B774">
        <v>20</v>
      </c>
      <c r="C774" t="s">
        <v>5</v>
      </c>
      <c r="D774">
        <v>3</v>
      </c>
      <c r="F774" s="1"/>
      <c r="G774" s="1"/>
    </row>
    <row r="775" spans="1:8" x14ac:dyDescent="0.2">
      <c r="A775">
        <v>1996</v>
      </c>
      <c r="B775">
        <v>25</v>
      </c>
      <c r="C775" t="s">
        <v>5</v>
      </c>
      <c r="D775">
        <v>5</v>
      </c>
      <c r="F775" s="1"/>
      <c r="G775" s="1"/>
    </row>
    <row r="776" spans="1:8" x14ac:dyDescent="0.2">
      <c r="A776">
        <v>1996</v>
      </c>
      <c r="B776">
        <v>30</v>
      </c>
      <c r="C776" t="s">
        <v>5</v>
      </c>
      <c r="D776">
        <v>3</v>
      </c>
      <c r="F776" s="1"/>
      <c r="G776" s="1"/>
    </row>
    <row r="777" spans="1:8" x14ac:dyDescent="0.2">
      <c r="A777">
        <v>1996</v>
      </c>
      <c r="B777">
        <v>35</v>
      </c>
      <c r="C777" t="s">
        <v>5</v>
      </c>
      <c r="D777">
        <v>2</v>
      </c>
      <c r="F777" s="1"/>
      <c r="G777" s="1"/>
    </row>
    <row r="778" spans="1:8" x14ac:dyDescent="0.2">
      <c r="A778">
        <v>1996</v>
      </c>
      <c r="B778">
        <v>40</v>
      </c>
      <c r="C778" t="s">
        <v>5</v>
      </c>
      <c r="D778">
        <v>1</v>
      </c>
    </row>
    <row r="779" spans="1:8" x14ac:dyDescent="0.2">
      <c r="A779">
        <v>1996</v>
      </c>
      <c r="B779">
        <v>45</v>
      </c>
      <c r="C779" t="s">
        <v>5</v>
      </c>
      <c r="D779">
        <v>3</v>
      </c>
      <c r="F779" s="1"/>
      <c r="G779" s="1"/>
    </row>
    <row r="780" spans="1:8" x14ac:dyDescent="0.2">
      <c r="A780">
        <v>1996</v>
      </c>
      <c r="B780">
        <v>50</v>
      </c>
      <c r="C780" t="s">
        <v>5</v>
      </c>
      <c r="D780">
        <v>1</v>
      </c>
      <c r="F780" s="1"/>
      <c r="G780" s="1"/>
    </row>
    <row r="781" spans="1:8" x14ac:dyDescent="0.2">
      <c r="A781">
        <v>1996</v>
      </c>
      <c r="B781">
        <v>55</v>
      </c>
      <c r="C781" t="s">
        <v>5</v>
      </c>
      <c r="D781">
        <v>2</v>
      </c>
      <c r="F781" s="1"/>
      <c r="G781" s="1"/>
    </row>
    <row r="782" spans="1:8" x14ac:dyDescent="0.2">
      <c r="A782">
        <v>1996</v>
      </c>
      <c r="B782">
        <v>60</v>
      </c>
      <c r="C782" t="s">
        <v>5</v>
      </c>
      <c r="D782">
        <v>1</v>
      </c>
      <c r="F782" s="1"/>
      <c r="G782" s="1"/>
    </row>
    <row r="783" spans="1:8" x14ac:dyDescent="0.2">
      <c r="A783">
        <v>1996</v>
      </c>
      <c r="B783">
        <v>65</v>
      </c>
      <c r="C783" t="s">
        <v>5</v>
      </c>
      <c r="D783">
        <v>1</v>
      </c>
    </row>
    <row r="784" spans="1:8" x14ac:dyDescent="0.2">
      <c r="A784">
        <v>1996</v>
      </c>
      <c r="B784">
        <v>70</v>
      </c>
      <c r="C784" t="s">
        <v>5</v>
      </c>
      <c r="D784">
        <v>0</v>
      </c>
      <c r="F784" s="1"/>
      <c r="G784" s="1"/>
      <c r="H784" s="1"/>
    </row>
    <row r="785" spans="1:7" x14ac:dyDescent="0.2">
      <c r="A785">
        <v>1996</v>
      </c>
      <c r="B785">
        <v>75</v>
      </c>
      <c r="C785" t="s">
        <v>5</v>
      </c>
      <c r="D785">
        <v>1</v>
      </c>
      <c r="F785" s="1"/>
      <c r="G785" s="1"/>
    </row>
    <row r="786" spans="1:7" x14ac:dyDescent="0.2">
      <c r="A786">
        <v>1996</v>
      </c>
      <c r="B786">
        <v>80</v>
      </c>
      <c r="C786" t="s">
        <v>5</v>
      </c>
      <c r="D786">
        <v>0</v>
      </c>
      <c r="F786" s="1"/>
      <c r="G786" s="1"/>
    </row>
    <row r="787" spans="1:7" x14ac:dyDescent="0.2">
      <c r="A787">
        <v>1996</v>
      </c>
      <c r="B787">
        <v>85</v>
      </c>
      <c r="C787" t="s">
        <v>5</v>
      </c>
      <c r="D787">
        <v>0</v>
      </c>
      <c r="F787" s="1"/>
      <c r="G787" s="1"/>
    </row>
    <row r="788" spans="1:7" x14ac:dyDescent="0.2">
      <c r="A788">
        <v>1997</v>
      </c>
      <c r="B788">
        <v>0</v>
      </c>
      <c r="C788" t="s">
        <v>5</v>
      </c>
      <c r="D788">
        <v>2</v>
      </c>
    </row>
    <row r="789" spans="1:7" x14ac:dyDescent="0.2">
      <c r="A789">
        <v>1997</v>
      </c>
      <c r="B789">
        <v>5</v>
      </c>
      <c r="C789" t="s">
        <v>5</v>
      </c>
      <c r="D789">
        <v>1</v>
      </c>
    </row>
    <row r="790" spans="1:7" x14ac:dyDescent="0.2">
      <c r="A790">
        <v>1997</v>
      </c>
      <c r="B790">
        <v>10</v>
      </c>
      <c r="C790" t="s">
        <v>5</v>
      </c>
      <c r="D790">
        <v>2</v>
      </c>
    </row>
    <row r="791" spans="1:7" x14ac:dyDescent="0.2">
      <c r="A791">
        <v>1997</v>
      </c>
      <c r="B791">
        <v>15</v>
      </c>
      <c r="C791" t="s">
        <v>5</v>
      </c>
      <c r="D791">
        <v>2</v>
      </c>
      <c r="F791" s="1"/>
    </row>
    <row r="792" spans="1:7" x14ac:dyDescent="0.2">
      <c r="A792">
        <v>1997</v>
      </c>
      <c r="B792">
        <v>20</v>
      </c>
      <c r="C792" t="s">
        <v>5</v>
      </c>
      <c r="D792">
        <v>3</v>
      </c>
    </row>
    <row r="793" spans="1:7" x14ac:dyDescent="0.2">
      <c r="A793">
        <v>1997</v>
      </c>
      <c r="B793">
        <v>25</v>
      </c>
      <c r="C793" t="s">
        <v>5</v>
      </c>
      <c r="D793">
        <v>1</v>
      </c>
    </row>
    <row r="794" spans="1:7" x14ac:dyDescent="0.2">
      <c r="A794">
        <v>1997</v>
      </c>
      <c r="B794">
        <v>30</v>
      </c>
      <c r="C794" t="s">
        <v>5</v>
      </c>
      <c r="D794">
        <v>3</v>
      </c>
    </row>
    <row r="795" spans="1:7" x14ac:dyDescent="0.2">
      <c r="A795">
        <v>1997</v>
      </c>
      <c r="B795">
        <v>35</v>
      </c>
      <c r="C795" t="s">
        <v>5</v>
      </c>
      <c r="D795">
        <v>1</v>
      </c>
    </row>
    <row r="796" spans="1:7" x14ac:dyDescent="0.2">
      <c r="A796">
        <v>1997</v>
      </c>
      <c r="B796">
        <v>40</v>
      </c>
      <c r="C796" t="s">
        <v>5</v>
      </c>
      <c r="D796">
        <v>1</v>
      </c>
    </row>
    <row r="797" spans="1:7" x14ac:dyDescent="0.2">
      <c r="A797">
        <v>1997</v>
      </c>
      <c r="B797">
        <v>45</v>
      </c>
      <c r="C797" t="s">
        <v>5</v>
      </c>
      <c r="D797">
        <v>1</v>
      </c>
    </row>
    <row r="798" spans="1:7" x14ac:dyDescent="0.2">
      <c r="A798">
        <v>1997</v>
      </c>
      <c r="B798">
        <v>50</v>
      </c>
      <c r="C798" t="s">
        <v>5</v>
      </c>
      <c r="D798">
        <v>0</v>
      </c>
      <c r="F798" s="1"/>
      <c r="G798" s="1"/>
    </row>
    <row r="799" spans="1:7" x14ac:dyDescent="0.2">
      <c r="A799">
        <v>1997</v>
      </c>
      <c r="B799">
        <v>55</v>
      </c>
      <c r="C799" t="s">
        <v>5</v>
      </c>
      <c r="D799">
        <v>1</v>
      </c>
      <c r="F799" s="1"/>
      <c r="G799" s="1"/>
    </row>
    <row r="800" spans="1:7" x14ac:dyDescent="0.2">
      <c r="A800">
        <v>1997</v>
      </c>
      <c r="B800">
        <v>60</v>
      </c>
      <c r="C800" t="s">
        <v>5</v>
      </c>
      <c r="D800">
        <v>1</v>
      </c>
      <c r="F800" s="1"/>
      <c r="G800" s="1"/>
    </row>
    <row r="801" spans="1:8" x14ac:dyDescent="0.2">
      <c r="A801">
        <v>1997</v>
      </c>
      <c r="B801">
        <v>65</v>
      </c>
      <c r="C801" t="s">
        <v>5</v>
      </c>
      <c r="D801">
        <v>1</v>
      </c>
      <c r="F801" s="1"/>
      <c r="G801" s="1"/>
    </row>
    <row r="802" spans="1:8" x14ac:dyDescent="0.2">
      <c r="A802">
        <v>1997</v>
      </c>
      <c r="B802">
        <v>70</v>
      </c>
      <c r="C802" t="s">
        <v>5</v>
      </c>
      <c r="D802">
        <v>1</v>
      </c>
      <c r="F802" s="1"/>
      <c r="G802" s="1"/>
    </row>
    <row r="803" spans="1:8" x14ac:dyDescent="0.2">
      <c r="A803">
        <v>1997</v>
      </c>
      <c r="B803">
        <v>75</v>
      </c>
      <c r="C803" t="s">
        <v>5</v>
      </c>
      <c r="D803">
        <v>0</v>
      </c>
      <c r="F803" s="1"/>
      <c r="G803" s="1"/>
      <c r="H803" s="1"/>
    </row>
    <row r="804" spans="1:8" x14ac:dyDescent="0.2">
      <c r="A804">
        <v>1997</v>
      </c>
      <c r="B804">
        <v>85</v>
      </c>
      <c r="C804" t="s">
        <v>5</v>
      </c>
      <c r="D804">
        <v>0</v>
      </c>
      <c r="F804" s="1"/>
      <c r="G804" s="1"/>
    </row>
    <row r="805" spans="1:8" x14ac:dyDescent="0.2">
      <c r="A805">
        <v>1998</v>
      </c>
      <c r="B805">
        <v>0</v>
      </c>
      <c r="C805" t="s">
        <v>5</v>
      </c>
      <c r="D805">
        <v>1</v>
      </c>
    </row>
    <row r="806" spans="1:8" x14ac:dyDescent="0.2">
      <c r="A806">
        <v>1998</v>
      </c>
      <c r="B806">
        <v>1</v>
      </c>
      <c r="C806" t="s">
        <v>5</v>
      </c>
      <c r="D806">
        <v>2</v>
      </c>
      <c r="F806" s="1"/>
      <c r="G806" s="1"/>
    </row>
    <row r="807" spans="1:8" x14ac:dyDescent="0.2">
      <c r="A807">
        <v>1998</v>
      </c>
      <c r="B807">
        <v>5</v>
      </c>
      <c r="C807" t="s">
        <v>5</v>
      </c>
      <c r="D807">
        <v>1</v>
      </c>
      <c r="F807" s="1"/>
      <c r="G807" s="1"/>
    </row>
    <row r="808" spans="1:8" x14ac:dyDescent="0.2">
      <c r="A808">
        <v>1998</v>
      </c>
      <c r="B808">
        <v>10</v>
      </c>
      <c r="C808" t="s">
        <v>5</v>
      </c>
      <c r="D808">
        <v>0</v>
      </c>
      <c r="F808" s="1"/>
      <c r="G808" s="1"/>
    </row>
    <row r="809" spans="1:8" x14ac:dyDescent="0.2">
      <c r="A809">
        <v>1998</v>
      </c>
      <c r="B809">
        <v>15</v>
      </c>
      <c r="C809" t="s">
        <v>5</v>
      </c>
      <c r="D809">
        <v>2</v>
      </c>
      <c r="F809" s="1"/>
      <c r="G809" s="1"/>
    </row>
    <row r="810" spans="1:8" x14ac:dyDescent="0.2">
      <c r="A810">
        <v>1998</v>
      </c>
      <c r="B810">
        <v>20</v>
      </c>
      <c r="C810" t="s">
        <v>5</v>
      </c>
      <c r="D810">
        <v>6</v>
      </c>
      <c r="F810" s="1"/>
      <c r="G810" s="1"/>
    </row>
    <row r="811" spans="1:8" x14ac:dyDescent="0.2">
      <c r="A811">
        <v>1998</v>
      </c>
      <c r="B811">
        <v>25</v>
      </c>
      <c r="C811" t="s">
        <v>5</v>
      </c>
      <c r="D811">
        <v>2</v>
      </c>
      <c r="F811" s="1"/>
      <c r="G811" s="1"/>
    </row>
    <row r="812" spans="1:8" x14ac:dyDescent="0.2">
      <c r="A812">
        <v>1998</v>
      </c>
      <c r="B812">
        <v>30</v>
      </c>
      <c r="C812" t="s">
        <v>5</v>
      </c>
      <c r="D812">
        <v>2</v>
      </c>
      <c r="F812" s="1"/>
      <c r="G812" s="1"/>
    </row>
    <row r="813" spans="1:8" x14ac:dyDescent="0.2">
      <c r="A813">
        <v>1998</v>
      </c>
      <c r="B813">
        <v>35</v>
      </c>
      <c r="C813" t="s">
        <v>5</v>
      </c>
      <c r="D813">
        <v>4</v>
      </c>
      <c r="F813" s="1"/>
      <c r="G813" s="1"/>
    </row>
    <row r="814" spans="1:8" x14ac:dyDescent="0.2">
      <c r="A814">
        <v>1998</v>
      </c>
      <c r="B814">
        <v>40</v>
      </c>
      <c r="C814" t="s">
        <v>5</v>
      </c>
      <c r="D814">
        <v>5</v>
      </c>
      <c r="F814" s="1"/>
      <c r="G814" s="1"/>
    </row>
    <row r="815" spans="1:8" x14ac:dyDescent="0.2">
      <c r="A815">
        <v>1998</v>
      </c>
      <c r="B815">
        <v>45</v>
      </c>
      <c r="C815" t="s">
        <v>5</v>
      </c>
      <c r="D815">
        <v>1</v>
      </c>
      <c r="F815" s="1"/>
      <c r="G815" s="1"/>
    </row>
    <row r="816" spans="1:8" x14ac:dyDescent="0.2">
      <c r="A816">
        <v>1998</v>
      </c>
      <c r="B816">
        <v>50</v>
      </c>
      <c r="C816" t="s">
        <v>5</v>
      </c>
      <c r="D816">
        <v>0</v>
      </c>
      <c r="F816" s="1"/>
      <c r="G816" s="1"/>
    </row>
    <row r="817" spans="1:8" x14ac:dyDescent="0.2">
      <c r="A817">
        <v>1998</v>
      </c>
      <c r="B817">
        <v>55</v>
      </c>
      <c r="C817" t="s">
        <v>5</v>
      </c>
      <c r="D817">
        <v>2</v>
      </c>
      <c r="F817" s="1"/>
      <c r="G817" s="1"/>
    </row>
    <row r="818" spans="1:8" x14ac:dyDescent="0.2">
      <c r="A818">
        <v>1998</v>
      </c>
      <c r="B818">
        <v>60</v>
      </c>
      <c r="C818" t="s">
        <v>5</v>
      </c>
      <c r="D818">
        <v>0</v>
      </c>
      <c r="F818" s="1"/>
      <c r="G818" s="1"/>
    </row>
    <row r="819" spans="1:8" x14ac:dyDescent="0.2">
      <c r="A819">
        <v>1998</v>
      </c>
      <c r="B819">
        <v>65</v>
      </c>
      <c r="C819" t="s">
        <v>5</v>
      </c>
      <c r="D819">
        <v>0</v>
      </c>
      <c r="F819" s="1"/>
      <c r="G819" s="1"/>
    </row>
    <row r="820" spans="1:8" x14ac:dyDescent="0.2">
      <c r="A820">
        <v>1998</v>
      </c>
      <c r="B820">
        <v>70</v>
      </c>
      <c r="C820" t="s">
        <v>5</v>
      </c>
      <c r="D820">
        <v>1</v>
      </c>
      <c r="F820" s="1"/>
      <c r="G820" s="1"/>
    </row>
    <row r="821" spans="1:8" x14ac:dyDescent="0.2">
      <c r="A821">
        <v>1998</v>
      </c>
      <c r="B821">
        <v>75</v>
      </c>
      <c r="C821" t="s">
        <v>5</v>
      </c>
      <c r="D821">
        <v>1</v>
      </c>
      <c r="F821" s="1"/>
      <c r="G821" s="1"/>
    </row>
    <row r="822" spans="1:8" x14ac:dyDescent="0.2">
      <c r="A822">
        <v>1998</v>
      </c>
      <c r="B822">
        <v>80</v>
      </c>
      <c r="C822" t="s">
        <v>5</v>
      </c>
      <c r="D822">
        <v>2</v>
      </c>
      <c r="F822" s="1"/>
      <c r="G822" s="1"/>
      <c r="H822" s="1"/>
    </row>
    <row r="823" spans="1:8" x14ac:dyDescent="0.2">
      <c r="A823">
        <v>1998</v>
      </c>
      <c r="B823">
        <v>85</v>
      </c>
      <c r="C823" t="s">
        <v>5</v>
      </c>
      <c r="D823">
        <v>1</v>
      </c>
      <c r="F823" s="1"/>
      <c r="G823" s="1"/>
    </row>
    <row r="824" spans="1:8" x14ac:dyDescent="0.2">
      <c r="A824">
        <v>1999</v>
      </c>
      <c r="B824">
        <v>0</v>
      </c>
      <c r="C824" t="s">
        <v>5</v>
      </c>
      <c r="D824">
        <v>4</v>
      </c>
      <c r="F824" s="1"/>
      <c r="G824" s="1"/>
    </row>
    <row r="825" spans="1:8" x14ac:dyDescent="0.2">
      <c r="A825">
        <v>1999</v>
      </c>
      <c r="B825">
        <v>1</v>
      </c>
      <c r="C825" t="s">
        <v>5</v>
      </c>
      <c r="D825">
        <v>2</v>
      </c>
      <c r="F825" s="1"/>
      <c r="G825" s="1"/>
    </row>
    <row r="826" spans="1:8" x14ac:dyDescent="0.2">
      <c r="A826">
        <v>1999</v>
      </c>
      <c r="B826">
        <v>5</v>
      </c>
      <c r="C826" t="s">
        <v>5</v>
      </c>
      <c r="D826">
        <v>1</v>
      </c>
    </row>
    <row r="827" spans="1:8" x14ac:dyDescent="0.2">
      <c r="A827">
        <v>1999</v>
      </c>
      <c r="B827">
        <v>10</v>
      </c>
      <c r="C827" t="s">
        <v>5</v>
      </c>
      <c r="D827">
        <v>0</v>
      </c>
    </row>
    <row r="828" spans="1:8" x14ac:dyDescent="0.2">
      <c r="A828">
        <v>1999</v>
      </c>
      <c r="B828">
        <v>15</v>
      </c>
      <c r="C828" t="s">
        <v>5</v>
      </c>
      <c r="D828">
        <v>3</v>
      </c>
    </row>
    <row r="829" spans="1:8" x14ac:dyDescent="0.2">
      <c r="A829">
        <v>1999</v>
      </c>
      <c r="B829">
        <v>20</v>
      </c>
      <c r="C829" t="s">
        <v>5</v>
      </c>
      <c r="D829">
        <v>7</v>
      </c>
    </row>
    <row r="830" spans="1:8" x14ac:dyDescent="0.2">
      <c r="A830">
        <v>1999</v>
      </c>
      <c r="B830">
        <v>25</v>
      </c>
      <c r="C830" t="s">
        <v>5</v>
      </c>
      <c r="D830">
        <v>1</v>
      </c>
    </row>
    <row r="831" spans="1:8" x14ac:dyDescent="0.2">
      <c r="A831">
        <v>1999</v>
      </c>
      <c r="B831">
        <v>30</v>
      </c>
      <c r="C831" t="s">
        <v>5</v>
      </c>
      <c r="D831">
        <v>2</v>
      </c>
    </row>
    <row r="832" spans="1:8" x14ac:dyDescent="0.2">
      <c r="A832">
        <v>1999</v>
      </c>
      <c r="B832">
        <v>35</v>
      </c>
      <c r="C832" t="s">
        <v>5</v>
      </c>
      <c r="D832">
        <v>1</v>
      </c>
    </row>
    <row r="833" spans="1:10" x14ac:dyDescent="0.2">
      <c r="A833">
        <v>1999</v>
      </c>
      <c r="B833">
        <v>40</v>
      </c>
      <c r="C833" t="s">
        <v>5</v>
      </c>
      <c r="D833">
        <v>5</v>
      </c>
    </row>
    <row r="834" spans="1:10" x14ac:dyDescent="0.2">
      <c r="A834">
        <v>1999</v>
      </c>
      <c r="B834">
        <v>45</v>
      </c>
      <c r="C834" t="s">
        <v>5</v>
      </c>
      <c r="D834">
        <v>2</v>
      </c>
    </row>
    <row r="835" spans="1:10" x14ac:dyDescent="0.2">
      <c r="A835">
        <v>1999</v>
      </c>
      <c r="B835">
        <v>50</v>
      </c>
      <c r="C835" t="s">
        <v>5</v>
      </c>
      <c r="D835">
        <v>1</v>
      </c>
    </row>
    <row r="836" spans="1:10" x14ac:dyDescent="0.2">
      <c r="A836">
        <v>1999</v>
      </c>
      <c r="B836">
        <v>55</v>
      </c>
      <c r="C836" t="s">
        <v>5</v>
      </c>
      <c r="D836">
        <v>0</v>
      </c>
      <c r="F836" s="1"/>
      <c r="G836" s="1"/>
    </row>
    <row r="837" spans="1:10" x14ac:dyDescent="0.2">
      <c r="A837">
        <v>1999</v>
      </c>
      <c r="B837">
        <v>60</v>
      </c>
      <c r="C837" t="s">
        <v>5</v>
      </c>
      <c r="D837">
        <v>3</v>
      </c>
      <c r="F837" s="1"/>
      <c r="G837" s="1"/>
    </row>
    <row r="838" spans="1:10" x14ac:dyDescent="0.2">
      <c r="A838">
        <v>1999</v>
      </c>
      <c r="B838">
        <v>65</v>
      </c>
      <c r="C838" t="s">
        <v>5</v>
      </c>
      <c r="D838">
        <v>0</v>
      </c>
      <c r="F838" s="1"/>
      <c r="G838" s="1"/>
    </row>
    <row r="839" spans="1:10" x14ac:dyDescent="0.2">
      <c r="A839">
        <v>1999</v>
      </c>
      <c r="B839">
        <v>70</v>
      </c>
      <c r="C839" t="s">
        <v>5</v>
      </c>
      <c r="D839">
        <v>0</v>
      </c>
      <c r="F839" s="1"/>
      <c r="G839" s="1"/>
    </row>
    <row r="840" spans="1:10" x14ac:dyDescent="0.2">
      <c r="A840">
        <v>1999</v>
      </c>
      <c r="B840">
        <v>75</v>
      </c>
      <c r="C840" t="s">
        <v>5</v>
      </c>
      <c r="D840">
        <v>1</v>
      </c>
      <c r="F840" s="1"/>
      <c r="G840" s="1"/>
    </row>
    <row r="841" spans="1:10" x14ac:dyDescent="0.2">
      <c r="A841">
        <v>1999</v>
      </c>
      <c r="B841">
        <v>85</v>
      </c>
      <c r="C841" t="s">
        <v>5</v>
      </c>
      <c r="D841">
        <v>2</v>
      </c>
      <c r="H841" s="1"/>
      <c r="J841" s="1"/>
    </row>
    <row r="842" spans="1:10" x14ac:dyDescent="0.2">
      <c r="A842">
        <v>2000</v>
      </c>
      <c r="B842">
        <v>0</v>
      </c>
      <c r="C842" t="s">
        <v>5</v>
      </c>
      <c r="D842">
        <v>2</v>
      </c>
      <c r="F842" s="1"/>
      <c r="G842" s="1"/>
      <c r="H842" s="1"/>
    </row>
    <row r="843" spans="1:10" x14ac:dyDescent="0.2">
      <c r="A843">
        <v>2000</v>
      </c>
      <c r="B843">
        <v>1</v>
      </c>
      <c r="C843" t="s">
        <v>5</v>
      </c>
      <c r="D843">
        <v>2</v>
      </c>
      <c r="F843" s="1"/>
      <c r="G843" s="1"/>
    </row>
    <row r="844" spans="1:10" x14ac:dyDescent="0.2">
      <c r="A844">
        <v>2000</v>
      </c>
      <c r="B844">
        <v>5</v>
      </c>
      <c r="C844" t="s">
        <v>5</v>
      </c>
      <c r="D844">
        <v>0</v>
      </c>
      <c r="F844" s="1"/>
      <c r="G844" s="1"/>
    </row>
    <row r="845" spans="1:10" x14ac:dyDescent="0.2">
      <c r="A845">
        <v>2000</v>
      </c>
      <c r="B845">
        <v>10</v>
      </c>
      <c r="C845" t="s">
        <v>5</v>
      </c>
      <c r="D845">
        <v>1</v>
      </c>
      <c r="F845" s="1"/>
      <c r="G845" s="1"/>
    </row>
    <row r="846" spans="1:10" x14ac:dyDescent="0.2">
      <c r="A846">
        <v>2000</v>
      </c>
      <c r="B846">
        <v>15</v>
      </c>
      <c r="C846" t="s">
        <v>5</v>
      </c>
      <c r="D846">
        <v>3</v>
      </c>
    </row>
    <row r="847" spans="1:10" x14ac:dyDescent="0.2">
      <c r="A847">
        <v>2000</v>
      </c>
      <c r="B847">
        <v>20</v>
      </c>
      <c r="C847" t="s">
        <v>5</v>
      </c>
      <c r="D847">
        <v>2</v>
      </c>
      <c r="F847" s="1"/>
      <c r="G847" s="1"/>
    </row>
    <row r="848" spans="1:10" x14ac:dyDescent="0.2">
      <c r="A848">
        <v>2000</v>
      </c>
      <c r="B848">
        <v>25</v>
      </c>
      <c r="C848" t="s">
        <v>5</v>
      </c>
      <c r="D848">
        <v>9</v>
      </c>
      <c r="F848" s="1"/>
      <c r="G848" s="1"/>
    </row>
    <row r="849" spans="1:10" x14ac:dyDescent="0.2">
      <c r="A849">
        <v>2000</v>
      </c>
      <c r="B849">
        <v>30</v>
      </c>
      <c r="C849" t="s">
        <v>5</v>
      </c>
      <c r="D849">
        <v>3</v>
      </c>
      <c r="F849" s="1"/>
      <c r="G849" s="1"/>
    </row>
    <row r="850" spans="1:10" x14ac:dyDescent="0.2">
      <c r="A850">
        <v>2000</v>
      </c>
      <c r="B850">
        <v>35</v>
      </c>
      <c r="C850" t="s">
        <v>5</v>
      </c>
      <c r="D850">
        <v>1</v>
      </c>
      <c r="F850" s="1"/>
      <c r="G850" s="1"/>
    </row>
    <row r="851" spans="1:10" x14ac:dyDescent="0.2">
      <c r="A851">
        <v>2000</v>
      </c>
      <c r="B851">
        <v>40</v>
      </c>
      <c r="C851" t="s">
        <v>5</v>
      </c>
      <c r="D851">
        <v>2</v>
      </c>
      <c r="F851" s="1"/>
      <c r="G851" s="1"/>
    </row>
    <row r="852" spans="1:10" x14ac:dyDescent="0.2">
      <c r="A852">
        <v>2000</v>
      </c>
      <c r="B852">
        <v>45</v>
      </c>
      <c r="C852" t="s">
        <v>5</v>
      </c>
      <c r="D852">
        <v>2</v>
      </c>
      <c r="F852" s="1"/>
      <c r="G852" s="1"/>
    </row>
    <row r="853" spans="1:10" x14ac:dyDescent="0.2">
      <c r="A853">
        <v>2000</v>
      </c>
      <c r="B853">
        <v>50</v>
      </c>
      <c r="C853" t="s">
        <v>5</v>
      </c>
      <c r="D853">
        <v>2</v>
      </c>
      <c r="F853" s="1"/>
      <c r="G853" s="1"/>
    </row>
    <row r="854" spans="1:10" x14ac:dyDescent="0.2">
      <c r="A854">
        <v>2000</v>
      </c>
      <c r="B854">
        <v>55</v>
      </c>
      <c r="C854" t="s">
        <v>5</v>
      </c>
      <c r="D854">
        <v>0</v>
      </c>
      <c r="F854" s="1"/>
      <c r="G854" s="1"/>
    </row>
    <row r="855" spans="1:10" x14ac:dyDescent="0.2">
      <c r="A855">
        <v>2000</v>
      </c>
      <c r="B855">
        <v>60</v>
      </c>
      <c r="C855" t="s">
        <v>5</v>
      </c>
      <c r="D855">
        <v>2</v>
      </c>
      <c r="F855" s="1"/>
      <c r="G855" s="1"/>
    </row>
    <row r="856" spans="1:10" x14ac:dyDescent="0.2">
      <c r="A856">
        <v>2000</v>
      </c>
      <c r="B856">
        <v>65</v>
      </c>
      <c r="C856" t="s">
        <v>5</v>
      </c>
      <c r="D856">
        <v>2</v>
      </c>
    </row>
    <row r="857" spans="1:10" x14ac:dyDescent="0.2">
      <c r="A857">
        <v>2000</v>
      </c>
      <c r="B857">
        <v>70</v>
      </c>
      <c r="C857" t="s">
        <v>5</v>
      </c>
      <c r="D857">
        <v>6</v>
      </c>
      <c r="F857" s="1"/>
      <c r="G857" s="1"/>
    </row>
    <row r="858" spans="1:10" x14ac:dyDescent="0.2">
      <c r="A858">
        <v>2000</v>
      </c>
      <c r="B858">
        <v>75</v>
      </c>
      <c r="C858" t="s">
        <v>5</v>
      </c>
      <c r="D858">
        <v>0</v>
      </c>
      <c r="F858" s="1"/>
      <c r="G858" s="1"/>
    </row>
    <row r="859" spans="1:10" x14ac:dyDescent="0.2">
      <c r="A859">
        <v>2000</v>
      </c>
      <c r="B859">
        <v>80</v>
      </c>
      <c r="C859" t="s">
        <v>5</v>
      </c>
      <c r="D859">
        <v>0</v>
      </c>
      <c r="F859" s="1"/>
      <c r="G859" s="1"/>
    </row>
    <row r="860" spans="1:10" x14ac:dyDescent="0.2">
      <c r="A860">
        <v>2000</v>
      </c>
      <c r="B860">
        <v>85</v>
      </c>
      <c r="C860" t="s">
        <v>5</v>
      </c>
      <c r="D860">
        <v>1</v>
      </c>
      <c r="H860" s="1"/>
      <c r="J860" s="1"/>
    </row>
    <row r="861" spans="1:10" x14ac:dyDescent="0.2">
      <c r="A861">
        <v>2001</v>
      </c>
      <c r="B861">
        <v>0</v>
      </c>
      <c r="C861" t="s">
        <v>5</v>
      </c>
      <c r="D861">
        <v>0</v>
      </c>
      <c r="F861" s="1"/>
      <c r="G861" s="1"/>
      <c r="H861" s="1"/>
    </row>
    <row r="862" spans="1:10" x14ac:dyDescent="0.2">
      <c r="A862">
        <v>2001</v>
      </c>
      <c r="B862">
        <v>1</v>
      </c>
      <c r="C862" t="s">
        <v>5</v>
      </c>
      <c r="D862">
        <v>3</v>
      </c>
    </row>
    <row r="863" spans="1:10" x14ac:dyDescent="0.2">
      <c r="A863">
        <v>2001</v>
      </c>
      <c r="B863">
        <v>5</v>
      </c>
      <c r="C863" t="s">
        <v>5</v>
      </c>
      <c r="D863">
        <v>1</v>
      </c>
      <c r="F863" s="1"/>
      <c r="G863" s="1"/>
    </row>
    <row r="864" spans="1:10" x14ac:dyDescent="0.2">
      <c r="A864">
        <v>2001</v>
      </c>
      <c r="B864">
        <v>10</v>
      </c>
      <c r="C864" t="s">
        <v>5</v>
      </c>
      <c r="D864">
        <v>2</v>
      </c>
    </row>
    <row r="865" spans="1:8" x14ac:dyDescent="0.2">
      <c r="A865">
        <v>2001</v>
      </c>
      <c r="B865">
        <v>15</v>
      </c>
      <c r="C865" t="s">
        <v>5</v>
      </c>
      <c r="D865">
        <v>3</v>
      </c>
    </row>
    <row r="866" spans="1:8" x14ac:dyDescent="0.2">
      <c r="A866">
        <v>2001</v>
      </c>
      <c r="B866">
        <v>20</v>
      </c>
      <c r="C866" t="s">
        <v>5</v>
      </c>
      <c r="D866">
        <v>6</v>
      </c>
    </row>
    <row r="867" spans="1:8" x14ac:dyDescent="0.2">
      <c r="A867">
        <v>2001</v>
      </c>
      <c r="B867">
        <v>25</v>
      </c>
      <c r="C867" t="s">
        <v>5</v>
      </c>
      <c r="D867">
        <v>4</v>
      </c>
    </row>
    <row r="868" spans="1:8" x14ac:dyDescent="0.2">
      <c r="A868">
        <v>2001</v>
      </c>
      <c r="B868">
        <v>30</v>
      </c>
      <c r="C868" t="s">
        <v>5</v>
      </c>
      <c r="D868">
        <v>7</v>
      </c>
    </row>
    <row r="869" spans="1:8" x14ac:dyDescent="0.2">
      <c r="A869">
        <v>2001</v>
      </c>
      <c r="B869">
        <v>35</v>
      </c>
      <c r="C869" t="s">
        <v>5</v>
      </c>
      <c r="D869">
        <v>4</v>
      </c>
    </row>
    <row r="870" spans="1:8" x14ac:dyDescent="0.2">
      <c r="A870">
        <v>2001</v>
      </c>
      <c r="B870">
        <v>40</v>
      </c>
      <c r="C870" t="s">
        <v>5</v>
      </c>
      <c r="D870">
        <v>2</v>
      </c>
    </row>
    <row r="871" spans="1:8" x14ac:dyDescent="0.2">
      <c r="A871">
        <v>2001</v>
      </c>
      <c r="B871">
        <v>45</v>
      </c>
      <c r="C871" t="s">
        <v>5</v>
      </c>
      <c r="D871">
        <v>1</v>
      </c>
    </row>
    <row r="872" spans="1:8" x14ac:dyDescent="0.2">
      <c r="A872">
        <v>2001</v>
      </c>
      <c r="B872">
        <v>50</v>
      </c>
      <c r="C872" t="s">
        <v>5</v>
      </c>
      <c r="D872">
        <v>0</v>
      </c>
    </row>
    <row r="873" spans="1:8" x14ac:dyDescent="0.2">
      <c r="A873">
        <v>2001</v>
      </c>
      <c r="B873">
        <v>55</v>
      </c>
      <c r="C873" t="s">
        <v>5</v>
      </c>
      <c r="D873">
        <v>4</v>
      </c>
    </row>
    <row r="874" spans="1:8" x14ac:dyDescent="0.2">
      <c r="A874">
        <v>2001</v>
      </c>
      <c r="B874">
        <v>60</v>
      </c>
      <c r="C874" t="s">
        <v>5</v>
      </c>
      <c r="D874">
        <v>0</v>
      </c>
    </row>
    <row r="875" spans="1:8" x14ac:dyDescent="0.2">
      <c r="A875">
        <v>2001</v>
      </c>
      <c r="B875">
        <v>65</v>
      </c>
      <c r="C875" t="s">
        <v>5</v>
      </c>
      <c r="D875">
        <v>1</v>
      </c>
      <c r="F875" s="1"/>
      <c r="G875" s="1"/>
    </row>
    <row r="876" spans="1:8" x14ac:dyDescent="0.2">
      <c r="A876">
        <v>2001</v>
      </c>
      <c r="B876">
        <v>70</v>
      </c>
      <c r="C876" t="s">
        <v>5</v>
      </c>
      <c r="D876">
        <v>1</v>
      </c>
      <c r="F876" s="1"/>
      <c r="G876" s="1"/>
    </row>
    <row r="877" spans="1:8" x14ac:dyDescent="0.2">
      <c r="A877">
        <v>2001</v>
      </c>
      <c r="B877">
        <v>75</v>
      </c>
      <c r="C877" t="s">
        <v>5</v>
      </c>
      <c r="D877">
        <v>0</v>
      </c>
      <c r="F877" s="1"/>
      <c r="G877" s="1"/>
    </row>
    <row r="878" spans="1:8" x14ac:dyDescent="0.2">
      <c r="A878">
        <v>2001</v>
      </c>
      <c r="B878">
        <v>80</v>
      </c>
      <c r="C878" t="s">
        <v>5</v>
      </c>
      <c r="D878">
        <v>1</v>
      </c>
      <c r="F878" s="1"/>
      <c r="G878" s="1"/>
    </row>
    <row r="879" spans="1:8" x14ac:dyDescent="0.2">
      <c r="A879">
        <v>2001</v>
      </c>
      <c r="B879">
        <v>85</v>
      </c>
      <c r="C879" t="s">
        <v>5</v>
      </c>
      <c r="D879">
        <v>1</v>
      </c>
      <c r="F879" s="1"/>
      <c r="G879" s="1"/>
      <c r="H879" s="1"/>
    </row>
    <row r="880" spans="1:8" x14ac:dyDescent="0.2">
      <c r="A880">
        <v>2002</v>
      </c>
      <c r="B880">
        <v>0</v>
      </c>
      <c r="C880" t="s">
        <v>5</v>
      </c>
      <c r="D880">
        <v>0</v>
      </c>
      <c r="F880" s="1"/>
      <c r="G880" s="1"/>
    </row>
    <row r="881" spans="1:7" x14ac:dyDescent="0.2">
      <c r="A881">
        <v>2002</v>
      </c>
      <c r="B881">
        <v>1</v>
      </c>
      <c r="C881" t="s">
        <v>5</v>
      </c>
      <c r="D881">
        <v>1</v>
      </c>
      <c r="F881" s="1"/>
      <c r="G881" s="1"/>
    </row>
    <row r="882" spans="1:7" x14ac:dyDescent="0.2">
      <c r="A882">
        <v>2002</v>
      </c>
      <c r="B882">
        <v>5</v>
      </c>
      <c r="C882" t="s">
        <v>5</v>
      </c>
      <c r="D882">
        <v>1</v>
      </c>
      <c r="F882" s="1"/>
      <c r="G882" s="1"/>
    </row>
    <row r="883" spans="1:7" x14ac:dyDescent="0.2">
      <c r="A883">
        <v>2002</v>
      </c>
      <c r="B883">
        <v>10</v>
      </c>
      <c r="C883" t="s">
        <v>5</v>
      </c>
      <c r="D883">
        <v>1</v>
      </c>
      <c r="F883" s="1"/>
      <c r="G883" s="1"/>
    </row>
    <row r="884" spans="1:7" x14ac:dyDescent="0.2">
      <c r="A884">
        <v>2002</v>
      </c>
      <c r="B884">
        <v>15</v>
      </c>
      <c r="C884" t="s">
        <v>5</v>
      </c>
      <c r="D884">
        <v>6</v>
      </c>
    </row>
    <row r="885" spans="1:7" x14ac:dyDescent="0.2">
      <c r="A885">
        <v>2002</v>
      </c>
      <c r="B885">
        <v>20</v>
      </c>
      <c r="C885" t="s">
        <v>5</v>
      </c>
      <c r="D885">
        <v>7</v>
      </c>
    </row>
    <row r="886" spans="1:7" x14ac:dyDescent="0.2">
      <c r="A886">
        <v>2002</v>
      </c>
      <c r="B886">
        <v>25</v>
      </c>
      <c r="C886" t="s">
        <v>5</v>
      </c>
      <c r="D886">
        <v>2</v>
      </c>
    </row>
    <row r="887" spans="1:7" x14ac:dyDescent="0.2">
      <c r="A887">
        <v>2002</v>
      </c>
      <c r="B887">
        <v>30</v>
      </c>
      <c r="C887" t="s">
        <v>5</v>
      </c>
      <c r="D887">
        <v>4</v>
      </c>
      <c r="F887" s="1"/>
      <c r="G887" s="1"/>
    </row>
    <row r="888" spans="1:7" x14ac:dyDescent="0.2">
      <c r="A888">
        <v>2002</v>
      </c>
      <c r="B888">
        <v>35</v>
      </c>
      <c r="C888" t="s">
        <v>5</v>
      </c>
      <c r="D888">
        <v>5</v>
      </c>
    </row>
    <row r="889" spans="1:7" x14ac:dyDescent="0.2">
      <c r="A889">
        <v>2002</v>
      </c>
      <c r="B889">
        <v>40</v>
      </c>
      <c r="C889" t="s">
        <v>5</v>
      </c>
      <c r="D889">
        <v>2</v>
      </c>
      <c r="F889" s="1"/>
      <c r="G889" s="1"/>
    </row>
    <row r="890" spans="1:7" x14ac:dyDescent="0.2">
      <c r="A890">
        <v>2002</v>
      </c>
      <c r="B890">
        <v>45</v>
      </c>
      <c r="C890" t="s">
        <v>5</v>
      </c>
      <c r="D890">
        <v>2</v>
      </c>
      <c r="F890" s="1"/>
      <c r="G890" s="1"/>
    </row>
    <row r="891" spans="1:7" x14ac:dyDescent="0.2">
      <c r="A891">
        <v>2002</v>
      </c>
      <c r="B891">
        <v>50</v>
      </c>
      <c r="C891" t="s">
        <v>5</v>
      </c>
      <c r="D891">
        <v>2</v>
      </c>
      <c r="F891" s="1"/>
      <c r="G891" s="1"/>
    </row>
    <row r="892" spans="1:7" x14ac:dyDescent="0.2">
      <c r="A892">
        <v>2002</v>
      </c>
      <c r="B892">
        <v>55</v>
      </c>
      <c r="C892" t="s">
        <v>5</v>
      </c>
      <c r="D892">
        <v>0</v>
      </c>
      <c r="F892" s="1"/>
      <c r="G892" s="1"/>
    </row>
    <row r="893" spans="1:7" x14ac:dyDescent="0.2">
      <c r="A893">
        <v>2002</v>
      </c>
      <c r="B893">
        <v>60</v>
      </c>
      <c r="C893" t="s">
        <v>5</v>
      </c>
      <c r="D893">
        <v>2</v>
      </c>
      <c r="F893" s="1"/>
      <c r="G893" s="1"/>
    </row>
    <row r="894" spans="1:7" x14ac:dyDescent="0.2">
      <c r="A894">
        <v>2002</v>
      </c>
      <c r="B894">
        <v>65</v>
      </c>
      <c r="C894" t="s">
        <v>5</v>
      </c>
      <c r="D894">
        <v>1</v>
      </c>
      <c r="F894" s="1"/>
      <c r="G894" s="1"/>
    </row>
    <row r="895" spans="1:7" x14ac:dyDescent="0.2">
      <c r="A895">
        <v>2002</v>
      </c>
      <c r="B895">
        <v>70</v>
      </c>
      <c r="C895" t="s">
        <v>5</v>
      </c>
      <c r="D895">
        <v>0</v>
      </c>
      <c r="F895" s="1"/>
      <c r="G895" s="1"/>
    </row>
    <row r="896" spans="1:7" x14ac:dyDescent="0.2">
      <c r="A896">
        <v>2002</v>
      </c>
      <c r="B896">
        <v>75</v>
      </c>
      <c r="C896" t="s">
        <v>5</v>
      </c>
      <c r="D896">
        <v>1</v>
      </c>
    </row>
    <row r="897" spans="1:8" x14ac:dyDescent="0.2">
      <c r="A897">
        <v>2002</v>
      </c>
      <c r="B897">
        <v>80</v>
      </c>
      <c r="C897" t="s">
        <v>5</v>
      </c>
      <c r="D897">
        <v>1</v>
      </c>
      <c r="F897" s="1"/>
      <c r="G897" s="1"/>
    </row>
    <row r="898" spans="1:8" x14ac:dyDescent="0.2">
      <c r="A898">
        <v>2002</v>
      </c>
      <c r="B898">
        <v>85</v>
      </c>
      <c r="C898" t="s">
        <v>5</v>
      </c>
      <c r="D898">
        <v>2</v>
      </c>
      <c r="F898" s="1"/>
      <c r="G898" s="1"/>
      <c r="H898" s="1"/>
    </row>
    <row r="899" spans="1:8" x14ac:dyDescent="0.2">
      <c r="A899">
        <v>2003</v>
      </c>
      <c r="B899">
        <v>0</v>
      </c>
      <c r="C899" t="s">
        <v>5</v>
      </c>
      <c r="D899">
        <v>3</v>
      </c>
      <c r="F899" s="1"/>
      <c r="G899" s="1"/>
    </row>
    <row r="900" spans="1:8" x14ac:dyDescent="0.2">
      <c r="A900">
        <v>2003</v>
      </c>
      <c r="B900">
        <v>1</v>
      </c>
      <c r="C900" t="s">
        <v>5</v>
      </c>
      <c r="D900">
        <v>2</v>
      </c>
      <c r="F900" s="1"/>
      <c r="G900" s="1"/>
    </row>
    <row r="901" spans="1:8" x14ac:dyDescent="0.2">
      <c r="A901">
        <v>2003</v>
      </c>
      <c r="B901">
        <v>5</v>
      </c>
      <c r="C901" t="s">
        <v>5</v>
      </c>
      <c r="D901">
        <v>0</v>
      </c>
      <c r="F901" s="1"/>
      <c r="G901" s="1"/>
    </row>
    <row r="902" spans="1:8" x14ac:dyDescent="0.2">
      <c r="A902">
        <v>2003</v>
      </c>
      <c r="B902">
        <v>10</v>
      </c>
      <c r="C902" t="s">
        <v>5</v>
      </c>
      <c r="D902">
        <v>1</v>
      </c>
    </row>
    <row r="903" spans="1:8" x14ac:dyDescent="0.2">
      <c r="A903">
        <v>2003</v>
      </c>
      <c r="B903">
        <v>15</v>
      </c>
      <c r="C903" t="s">
        <v>5</v>
      </c>
      <c r="D903">
        <v>4</v>
      </c>
    </row>
    <row r="904" spans="1:8" x14ac:dyDescent="0.2">
      <c r="A904">
        <v>2003</v>
      </c>
      <c r="B904">
        <v>20</v>
      </c>
      <c r="C904" t="s">
        <v>5</v>
      </c>
      <c r="D904">
        <v>2</v>
      </c>
    </row>
    <row r="905" spans="1:8" x14ac:dyDescent="0.2">
      <c r="A905">
        <v>2003</v>
      </c>
      <c r="B905">
        <v>25</v>
      </c>
      <c r="C905" t="s">
        <v>5</v>
      </c>
      <c r="D905">
        <v>3</v>
      </c>
    </row>
    <row r="906" spans="1:8" x14ac:dyDescent="0.2">
      <c r="A906">
        <v>2003</v>
      </c>
      <c r="B906">
        <v>30</v>
      </c>
      <c r="C906" t="s">
        <v>5</v>
      </c>
      <c r="D906">
        <v>2</v>
      </c>
    </row>
    <row r="907" spans="1:8" x14ac:dyDescent="0.2">
      <c r="A907">
        <v>2003</v>
      </c>
      <c r="B907">
        <v>35</v>
      </c>
      <c r="C907" t="s">
        <v>5</v>
      </c>
      <c r="D907">
        <v>3</v>
      </c>
    </row>
    <row r="908" spans="1:8" x14ac:dyDescent="0.2">
      <c r="A908">
        <v>2003</v>
      </c>
      <c r="B908">
        <v>40</v>
      </c>
      <c r="C908" t="s">
        <v>5</v>
      </c>
      <c r="D908">
        <v>2</v>
      </c>
    </row>
    <row r="909" spans="1:8" x14ac:dyDescent="0.2">
      <c r="A909">
        <v>2003</v>
      </c>
      <c r="B909">
        <v>45</v>
      </c>
      <c r="C909" t="s">
        <v>5</v>
      </c>
      <c r="D909">
        <v>1</v>
      </c>
    </row>
    <row r="910" spans="1:8" x14ac:dyDescent="0.2">
      <c r="A910">
        <v>2003</v>
      </c>
      <c r="B910">
        <v>50</v>
      </c>
      <c r="C910" t="s">
        <v>5</v>
      </c>
      <c r="D910">
        <v>2</v>
      </c>
    </row>
    <row r="911" spans="1:8" x14ac:dyDescent="0.2">
      <c r="A911">
        <v>2003</v>
      </c>
      <c r="B911">
        <v>55</v>
      </c>
      <c r="C911" t="s">
        <v>5</v>
      </c>
      <c r="D911">
        <v>1</v>
      </c>
    </row>
    <row r="912" spans="1:8" x14ac:dyDescent="0.2">
      <c r="A912">
        <v>2003</v>
      </c>
      <c r="B912">
        <v>60</v>
      </c>
      <c r="C912" t="s">
        <v>5</v>
      </c>
      <c r="D912">
        <v>0</v>
      </c>
    </row>
    <row r="913" spans="1:10" x14ac:dyDescent="0.2">
      <c r="A913">
        <v>2003</v>
      </c>
      <c r="B913">
        <v>65</v>
      </c>
      <c r="C913" t="s">
        <v>5</v>
      </c>
      <c r="D913">
        <v>2</v>
      </c>
      <c r="F913" s="1"/>
      <c r="G913" s="1"/>
    </row>
    <row r="914" spans="1:10" x14ac:dyDescent="0.2">
      <c r="A914">
        <v>2003</v>
      </c>
      <c r="B914">
        <v>70</v>
      </c>
      <c r="C914" t="s">
        <v>5</v>
      </c>
      <c r="D914">
        <v>2</v>
      </c>
      <c r="F914" s="1"/>
      <c r="G914" s="1"/>
    </row>
    <row r="915" spans="1:10" x14ac:dyDescent="0.2">
      <c r="A915">
        <v>2003</v>
      </c>
      <c r="B915">
        <v>75</v>
      </c>
      <c r="C915" t="s">
        <v>5</v>
      </c>
      <c r="D915">
        <v>2</v>
      </c>
      <c r="F915" s="1"/>
      <c r="G915" s="1"/>
    </row>
    <row r="916" spans="1:10" x14ac:dyDescent="0.2">
      <c r="A916">
        <v>2003</v>
      </c>
      <c r="B916">
        <v>80</v>
      </c>
      <c r="C916" t="s">
        <v>5</v>
      </c>
      <c r="D916">
        <v>0</v>
      </c>
      <c r="F916" s="1"/>
      <c r="G916" s="1"/>
    </row>
    <row r="917" spans="1:10" x14ac:dyDescent="0.2">
      <c r="A917">
        <v>2003</v>
      </c>
      <c r="B917">
        <v>85</v>
      </c>
      <c r="C917" t="s">
        <v>5</v>
      </c>
      <c r="D917">
        <v>1</v>
      </c>
      <c r="H917" s="1"/>
      <c r="J917" s="1"/>
    </row>
    <row r="918" spans="1:10" x14ac:dyDescent="0.2">
      <c r="A918">
        <v>2004</v>
      </c>
      <c r="B918">
        <v>0</v>
      </c>
      <c r="C918" t="s">
        <v>5</v>
      </c>
      <c r="D918">
        <v>3</v>
      </c>
      <c r="F918" s="1"/>
      <c r="G918" s="1"/>
      <c r="H918" s="1"/>
    </row>
    <row r="919" spans="1:10" x14ac:dyDescent="0.2">
      <c r="A919">
        <v>2004</v>
      </c>
      <c r="B919">
        <v>1</v>
      </c>
      <c r="C919" t="s">
        <v>5</v>
      </c>
      <c r="D919">
        <v>1</v>
      </c>
    </row>
    <row r="920" spans="1:10" x14ac:dyDescent="0.2">
      <c r="A920">
        <v>2004</v>
      </c>
      <c r="B920">
        <v>10</v>
      </c>
      <c r="C920" t="s">
        <v>5</v>
      </c>
      <c r="D920">
        <v>0</v>
      </c>
    </row>
    <row r="921" spans="1:10" x14ac:dyDescent="0.2">
      <c r="A921">
        <v>2004</v>
      </c>
      <c r="B921">
        <v>15</v>
      </c>
      <c r="C921" t="s">
        <v>5</v>
      </c>
      <c r="D921">
        <v>2</v>
      </c>
      <c r="F921" s="1"/>
      <c r="G921" s="1"/>
    </row>
    <row r="922" spans="1:10" x14ac:dyDescent="0.2">
      <c r="A922">
        <v>2004</v>
      </c>
      <c r="B922">
        <v>20</v>
      </c>
      <c r="C922" t="s">
        <v>5</v>
      </c>
      <c r="D922">
        <v>4</v>
      </c>
    </row>
    <row r="923" spans="1:10" x14ac:dyDescent="0.2">
      <c r="A923">
        <v>2004</v>
      </c>
      <c r="B923">
        <v>25</v>
      </c>
      <c r="C923" t="s">
        <v>5</v>
      </c>
      <c r="D923">
        <v>2</v>
      </c>
    </row>
    <row r="924" spans="1:10" x14ac:dyDescent="0.2">
      <c r="A924">
        <v>2004</v>
      </c>
      <c r="B924">
        <v>30</v>
      </c>
      <c r="C924" t="s">
        <v>5</v>
      </c>
      <c r="D924">
        <v>1</v>
      </c>
    </row>
    <row r="925" spans="1:10" x14ac:dyDescent="0.2">
      <c r="A925">
        <v>2004</v>
      </c>
      <c r="B925">
        <v>35</v>
      </c>
      <c r="C925" t="s">
        <v>5</v>
      </c>
      <c r="D925">
        <v>3</v>
      </c>
    </row>
    <row r="926" spans="1:10" x14ac:dyDescent="0.2">
      <c r="A926">
        <v>2004</v>
      </c>
      <c r="B926">
        <v>40</v>
      </c>
      <c r="C926" t="s">
        <v>5</v>
      </c>
      <c r="D926">
        <v>0</v>
      </c>
    </row>
    <row r="927" spans="1:10" x14ac:dyDescent="0.2">
      <c r="A927">
        <v>2004</v>
      </c>
      <c r="B927">
        <v>45</v>
      </c>
      <c r="C927" t="s">
        <v>5</v>
      </c>
      <c r="D927">
        <v>1</v>
      </c>
      <c r="F927" s="1"/>
      <c r="G927" s="1"/>
    </row>
    <row r="928" spans="1:10" x14ac:dyDescent="0.2">
      <c r="A928">
        <v>2004</v>
      </c>
      <c r="B928">
        <v>50</v>
      </c>
      <c r="C928" t="s">
        <v>5</v>
      </c>
      <c r="D928">
        <v>0</v>
      </c>
      <c r="F928" s="1"/>
      <c r="G928" s="1"/>
    </row>
    <row r="929" spans="1:8" x14ac:dyDescent="0.2">
      <c r="A929">
        <v>2004</v>
      </c>
      <c r="B929">
        <v>55</v>
      </c>
      <c r="C929" t="s">
        <v>5</v>
      </c>
      <c r="D929">
        <v>1</v>
      </c>
      <c r="F929" s="1"/>
      <c r="G929" s="1"/>
    </row>
    <row r="930" spans="1:8" x14ac:dyDescent="0.2">
      <c r="A930">
        <v>2004</v>
      </c>
      <c r="B930">
        <v>60</v>
      </c>
      <c r="C930" t="s">
        <v>5</v>
      </c>
      <c r="D930">
        <v>0</v>
      </c>
      <c r="F930" s="1"/>
      <c r="G930" s="1"/>
    </row>
    <row r="931" spans="1:8" x14ac:dyDescent="0.2">
      <c r="A931">
        <v>2004</v>
      </c>
      <c r="B931">
        <v>65</v>
      </c>
      <c r="C931" t="s">
        <v>5</v>
      </c>
      <c r="D931">
        <v>0</v>
      </c>
      <c r="F931" s="1"/>
      <c r="G931" s="1"/>
    </row>
    <row r="932" spans="1:8" x14ac:dyDescent="0.2">
      <c r="A932">
        <v>2004</v>
      </c>
      <c r="B932">
        <v>70</v>
      </c>
      <c r="C932" t="s">
        <v>5</v>
      </c>
      <c r="D932">
        <v>1</v>
      </c>
      <c r="F932" s="1"/>
      <c r="G932" s="1"/>
    </row>
    <row r="933" spans="1:8" x14ac:dyDescent="0.2">
      <c r="A933">
        <v>2004</v>
      </c>
      <c r="B933">
        <v>75</v>
      </c>
      <c r="C933" t="s">
        <v>5</v>
      </c>
      <c r="D933">
        <v>1</v>
      </c>
      <c r="F933" s="1"/>
      <c r="G933" s="1"/>
    </row>
    <row r="934" spans="1:8" x14ac:dyDescent="0.2">
      <c r="A934">
        <v>2004</v>
      </c>
      <c r="B934">
        <v>80</v>
      </c>
      <c r="C934" t="s">
        <v>5</v>
      </c>
      <c r="D934">
        <v>2</v>
      </c>
    </row>
    <row r="935" spans="1:8" x14ac:dyDescent="0.2">
      <c r="A935">
        <v>2005</v>
      </c>
      <c r="B935">
        <v>0</v>
      </c>
      <c r="C935" t="s">
        <v>5</v>
      </c>
      <c r="D935">
        <v>2</v>
      </c>
    </row>
    <row r="936" spans="1:8" x14ac:dyDescent="0.2">
      <c r="A936">
        <v>2005</v>
      </c>
      <c r="B936">
        <v>1</v>
      </c>
      <c r="C936" t="s">
        <v>5</v>
      </c>
      <c r="D936">
        <v>2</v>
      </c>
      <c r="F936" s="1"/>
      <c r="G936" s="1"/>
      <c r="H936" s="1"/>
    </row>
    <row r="937" spans="1:8" x14ac:dyDescent="0.2">
      <c r="A937">
        <v>2005</v>
      </c>
      <c r="B937">
        <v>5</v>
      </c>
      <c r="C937" t="s">
        <v>5</v>
      </c>
      <c r="D937">
        <v>1</v>
      </c>
      <c r="F937" s="1"/>
      <c r="G937" s="1"/>
    </row>
    <row r="938" spans="1:8" x14ac:dyDescent="0.2">
      <c r="A938">
        <v>2005</v>
      </c>
      <c r="B938">
        <v>10</v>
      </c>
      <c r="C938" t="s">
        <v>5</v>
      </c>
      <c r="D938">
        <v>3</v>
      </c>
    </row>
    <row r="939" spans="1:8" x14ac:dyDescent="0.2">
      <c r="A939">
        <v>2005</v>
      </c>
      <c r="B939">
        <v>15</v>
      </c>
      <c r="C939" t="s">
        <v>5</v>
      </c>
      <c r="D939">
        <v>1</v>
      </c>
    </row>
    <row r="940" spans="1:8" x14ac:dyDescent="0.2">
      <c r="A940">
        <v>2005</v>
      </c>
      <c r="B940">
        <v>20</v>
      </c>
      <c r="C940" t="s">
        <v>5</v>
      </c>
      <c r="D940">
        <v>2</v>
      </c>
    </row>
    <row r="941" spans="1:8" x14ac:dyDescent="0.2">
      <c r="A941">
        <v>2005</v>
      </c>
      <c r="B941">
        <v>25</v>
      </c>
      <c r="C941" t="s">
        <v>5</v>
      </c>
      <c r="D941">
        <v>4</v>
      </c>
    </row>
    <row r="942" spans="1:8" x14ac:dyDescent="0.2">
      <c r="A942">
        <v>2005</v>
      </c>
      <c r="B942">
        <v>30</v>
      </c>
      <c r="C942" t="s">
        <v>5</v>
      </c>
      <c r="D942">
        <v>3</v>
      </c>
    </row>
    <row r="943" spans="1:8" x14ac:dyDescent="0.2">
      <c r="A943">
        <v>2005</v>
      </c>
      <c r="B943">
        <v>35</v>
      </c>
      <c r="C943" t="s">
        <v>5</v>
      </c>
      <c r="D943">
        <v>6</v>
      </c>
    </row>
    <row r="944" spans="1:8" x14ac:dyDescent="0.2">
      <c r="A944">
        <v>2005</v>
      </c>
      <c r="B944">
        <v>40</v>
      </c>
      <c r="C944" t="s">
        <v>5</v>
      </c>
      <c r="D944">
        <v>3</v>
      </c>
    </row>
    <row r="945" spans="1:8" x14ac:dyDescent="0.2">
      <c r="A945">
        <v>2005</v>
      </c>
      <c r="B945">
        <v>45</v>
      </c>
      <c r="C945" t="s">
        <v>5</v>
      </c>
      <c r="D945">
        <v>3</v>
      </c>
    </row>
    <row r="946" spans="1:8" x14ac:dyDescent="0.2">
      <c r="A946">
        <v>2005</v>
      </c>
      <c r="B946">
        <v>50</v>
      </c>
      <c r="C946" t="s">
        <v>5</v>
      </c>
      <c r="D946">
        <v>3</v>
      </c>
    </row>
    <row r="947" spans="1:8" x14ac:dyDescent="0.2">
      <c r="A947">
        <v>2005</v>
      </c>
      <c r="B947">
        <v>55</v>
      </c>
      <c r="C947" t="s">
        <v>5</v>
      </c>
      <c r="D947">
        <v>1</v>
      </c>
    </row>
    <row r="948" spans="1:8" x14ac:dyDescent="0.2">
      <c r="A948">
        <v>2005</v>
      </c>
      <c r="B948">
        <v>60</v>
      </c>
      <c r="C948" t="s">
        <v>5</v>
      </c>
      <c r="D948">
        <v>0</v>
      </c>
    </row>
    <row r="949" spans="1:8" x14ac:dyDescent="0.2">
      <c r="A949">
        <v>2005</v>
      </c>
      <c r="B949">
        <v>65</v>
      </c>
      <c r="C949" t="s">
        <v>5</v>
      </c>
      <c r="D949">
        <v>2</v>
      </c>
    </row>
    <row r="950" spans="1:8" x14ac:dyDescent="0.2">
      <c r="A950">
        <v>2005</v>
      </c>
      <c r="B950">
        <v>70</v>
      </c>
      <c r="C950" t="s">
        <v>5</v>
      </c>
      <c r="D950">
        <v>0</v>
      </c>
      <c r="F950" s="1"/>
      <c r="G950" s="1"/>
    </row>
    <row r="951" spans="1:8" x14ac:dyDescent="0.2">
      <c r="A951">
        <v>2005</v>
      </c>
      <c r="B951">
        <v>75</v>
      </c>
      <c r="C951" t="s">
        <v>5</v>
      </c>
      <c r="D951">
        <v>1</v>
      </c>
      <c r="F951" s="1"/>
      <c r="G951" s="1"/>
    </row>
    <row r="952" spans="1:8" x14ac:dyDescent="0.2">
      <c r="A952">
        <v>2005</v>
      </c>
      <c r="B952">
        <v>80</v>
      </c>
      <c r="C952" t="s">
        <v>5</v>
      </c>
      <c r="D952">
        <v>1</v>
      </c>
      <c r="F952" s="1"/>
      <c r="G952" s="1"/>
    </row>
    <row r="953" spans="1:8" x14ac:dyDescent="0.2">
      <c r="A953">
        <v>2005</v>
      </c>
      <c r="B953">
        <v>85</v>
      </c>
      <c r="C953" t="s">
        <v>5</v>
      </c>
      <c r="D953">
        <v>0</v>
      </c>
      <c r="F953" s="1"/>
      <c r="G953" s="1"/>
      <c r="H953" s="1"/>
    </row>
    <row r="954" spans="1:8" x14ac:dyDescent="0.2">
      <c r="A954">
        <v>2006</v>
      </c>
      <c r="B954">
        <v>0</v>
      </c>
      <c r="C954" t="s">
        <v>5</v>
      </c>
      <c r="D954">
        <v>2</v>
      </c>
      <c r="F954" s="1"/>
      <c r="G954" s="1"/>
    </row>
    <row r="955" spans="1:8" x14ac:dyDescent="0.2">
      <c r="A955">
        <v>2006</v>
      </c>
      <c r="B955">
        <v>1</v>
      </c>
      <c r="C955" t="s">
        <v>5</v>
      </c>
      <c r="D955">
        <v>1</v>
      </c>
      <c r="F955" s="1"/>
      <c r="G955" s="1"/>
    </row>
    <row r="956" spans="1:8" x14ac:dyDescent="0.2">
      <c r="A956">
        <v>2006</v>
      </c>
      <c r="B956">
        <v>5</v>
      </c>
      <c r="C956" t="s">
        <v>5</v>
      </c>
      <c r="D956">
        <v>1</v>
      </c>
      <c r="F956" s="1"/>
    </row>
    <row r="957" spans="1:8" x14ac:dyDescent="0.2">
      <c r="A957">
        <v>2006</v>
      </c>
      <c r="B957">
        <v>10</v>
      </c>
      <c r="C957" t="s">
        <v>5</v>
      </c>
      <c r="D957">
        <v>0</v>
      </c>
      <c r="F957" s="1"/>
    </row>
    <row r="958" spans="1:8" x14ac:dyDescent="0.2">
      <c r="A958">
        <v>2006</v>
      </c>
      <c r="B958">
        <v>15</v>
      </c>
      <c r="C958" t="s">
        <v>5</v>
      </c>
      <c r="D958">
        <v>1</v>
      </c>
    </row>
    <row r="959" spans="1:8" x14ac:dyDescent="0.2">
      <c r="A959">
        <v>2006</v>
      </c>
      <c r="B959">
        <v>20</v>
      </c>
      <c r="C959" t="s">
        <v>5</v>
      </c>
      <c r="D959">
        <v>1</v>
      </c>
    </row>
    <row r="960" spans="1:8" x14ac:dyDescent="0.2">
      <c r="A960">
        <v>2006</v>
      </c>
      <c r="B960">
        <v>25</v>
      </c>
      <c r="C960" t="s">
        <v>5</v>
      </c>
      <c r="D960">
        <v>3</v>
      </c>
    </row>
    <row r="961" spans="1:8" x14ac:dyDescent="0.2">
      <c r="A961">
        <v>2006</v>
      </c>
      <c r="B961">
        <v>30</v>
      </c>
      <c r="C961" t="s">
        <v>5</v>
      </c>
      <c r="D961">
        <v>2</v>
      </c>
    </row>
    <row r="962" spans="1:8" x14ac:dyDescent="0.2">
      <c r="A962">
        <v>2006</v>
      </c>
      <c r="B962">
        <v>35</v>
      </c>
      <c r="C962" t="s">
        <v>5</v>
      </c>
      <c r="D962">
        <v>3</v>
      </c>
    </row>
    <row r="963" spans="1:8" x14ac:dyDescent="0.2">
      <c r="A963">
        <v>2006</v>
      </c>
      <c r="B963">
        <v>40</v>
      </c>
      <c r="C963" t="s">
        <v>5</v>
      </c>
      <c r="D963">
        <v>4</v>
      </c>
      <c r="F963" s="1"/>
      <c r="G963" s="1"/>
    </row>
    <row r="964" spans="1:8" x14ac:dyDescent="0.2">
      <c r="A964">
        <v>2006</v>
      </c>
      <c r="B964">
        <v>45</v>
      </c>
      <c r="C964" t="s">
        <v>5</v>
      </c>
      <c r="D964">
        <v>0</v>
      </c>
      <c r="F964" s="1"/>
      <c r="G964" s="1"/>
    </row>
    <row r="965" spans="1:8" x14ac:dyDescent="0.2">
      <c r="A965">
        <v>2006</v>
      </c>
      <c r="B965">
        <v>50</v>
      </c>
      <c r="C965" t="s">
        <v>5</v>
      </c>
      <c r="D965">
        <v>1</v>
      </c>
      <c r="F965" s="1"/>
      <c r="G965" s="1"/>
    </row>
    <row r="966" spans="1:8" x14ac:dyDescent="0.2">
      <c r="A966">
        <v>2006</v>
      </c>
      <c r="B966">
        <v>55</v>
      </c>
      <c r="C966" t="s">
        <v>5</v>
      </c>
      <c r="D966">
        <v>1</v>
      </c>
      <c r="F966" s="1"/>
      <c r="G966" s="1"/>
    </row>
    <row r="967" spans="1:8" x14ac:dyDescent="0.2">
      <c r="A967">
        <v>2006</v>
      </c>
      <c r="B967">
        <v>60</v>
      </c>
      <c r="C967" t="s">
        <v>5</v>
      </c>
      <c r="D967">
        <v>0</v>
      </c>
      <c r="F967" s="1"/>
      <c r="G967" s="1"/>
    </row>
    <row r="968" spans="1:8" x14ac:dyDescent="0.2">
      <c r="A968">
        <v>2006</v>
      </c>
      <c r="B968">
        <v>65</v>
      </c>
      <c r="C968" t="s">
        <v>5</v>
      </c>
      <c r="D968">
        <v>0</v>
      </c>
      <c r="F968" s="1"/>
      <c r="G968" s="1"/>
    </row>
    <row r="969" spans="1:8" x14ac:dyDescent="0.2">
      <c r="A969">
        <v>2006</v>
      </c>
      <c r="B969">
        <v>70</v>
      </c>
      <c r="C969" t="s">
        <v>5</v>
      </c>
      <c r="D969">
        <v>0</v>
      </c>
      <c r="F969" s="1"/>
      <c r="G969" s="1"/>
    </row>
    <row r="970" spans="1:8" x14ac:dyDescent="0.2">
      <c r="A970">
        <v>2006</v>
      </c>
      <c r="B970">
        <v>75</v>
      </c>
      <c r="C970" t="s">
        <v>5</v>
      </c>
      <c r="D970">
        <v>0</v>
      </c>
      <c r="F970" s="1"/>
      <c r="G970" s="1"/>
      <c r="H970" s="1"/>
    </row>
    <row r="971" spans="1:8" x14ac:dyDescent="0.2">
      <c r="A971">
        <v>2006</v>
      </c>
      <c r="B971">
        <v>80</v>
      </c>
      <c r="C971" t="s">
        <v>5</v>
      </c>
      <c r="D971">
        <v>0</v>
      </c>
      <c r="F971" s="1"/>
      <c r="G971" s="1"/>
    </row>
    <row r="972" spans="1:8" x14ac:dyDescent="0.2">
      <c r="A972">
        <v>2006</v>
      </c>
      <c r="B972">
        <v>85</v>
      </c>
      <c r="C972" t="s">
        <v>5</v>
      </c>
      <c r="D972">
        <v>2</v>
      </c>
      <c r="F972" s="1"/>
      <c r="G972" s="1"/>
    </row>
    <row r="973" spans="1:8" x14ac:dyDescent="0.2">
      <c r="A973">
        <v>2007</v>
      </c>
      <c r="B973">
        <v>0</v>
      </c>
      <c r="C973" t="s">
        <v>5</v>
      </c>
      <c r="D973">
        <v>2</v>
      </c>
      <c r="F973" s="1"/>
    </row>
    <row r="974" spans="1:8" x14ac:dyDescent="0.2">
      <c r="A974">
        <v>2007</v>
      </c>
      <c r="B974">
        <v>1</v>
      </c>
      <c r="C974" t="s">
        <v>5</v>
      </c>
      <c r="D974">
        <v>2</v>
      </c>
    </row>
    <row r="975" spans="1:8" x14ac:dyDescent="0.2">
      <c r="A975">
        <v>2007</v>
      </c>
      <c r="B975">
        <v>5</v>
      </c>
      <c r="C975" t="s">
        <v>5</v>
      </c>
      <c r="D975">
        <v>1</v>
      </c>
    </row>
    <row r="976" spans="1:8" x14ac:dyDescent="0.2">
      <c r="A976">
        <v>2007</v>
      </c>
      <c r="B976">
        <v>10</v>
      </c>
      <c r="C976" t="s">
        <v>5</v>
      </c>
      <c r="D976">
        <v>2</v>
      </c>
    </row>
    <row r="977" spans="1:8" x14ac:dyDescent="0.2">
      <c r="A977">
        <v>2007</v>
      </c>
      <c r="B977">
        <v>15</v>
      </c>
      <c r="C977" t="s">
        <v>5</v>
      </c>
      <c r="D977">
        <v>3</v>
      </c>
    </row>
    <row r="978" spans="1:8" x14ac:dyDescent="0.2">
      <c r="A978">
        <v>2007</v>
      </c>
      <c r="B978">
        <v>20</v>
      </c>
      <c r="C978" t="s">
        <v>5</v>
      </c>
      <c r="D978">
        <v>0</v>
      </c>
    </row>
    <row r="979" spans="1:8" x14ac:dyDescent="0.2">
      <c r="A979">
        <v>2007</v>
      </c>
      <c r="B979">
        <v>25</v>
      </c>
      <c r="C979" t="s">
        <v>5</v>
      </c>
      <c r="D979">
        <v>4</v>
      </c>
    </row>
    <row r="980" spans="1:8" x14ac:dyDescent="0.2">
      <c r="A980">
        <v>2007</v>
      </c>
      <c r="B980">
        <v>30</v>
      </c>
      <c r="C980" t="s">
        <v>5</v>
      </c>
      <c r="D980">
        <v>1</v>
      </c>
    </row>
    <row r="981" spans="1:8" x14ac:dyDescent="0.2">
      <c r="A981">
        <v>2007</v>
      </c>
      <c r="B981">
        <v>35</v>
      </c>
      <c r="C981" t="s">
        <v>5</v>
      </c>
      <c r="D981">
        <v>3</v>
      </c>
    </row>
    <row r="982" spans="1:8" x14ac:dyDescent="0.2">
      <c r="A982">
        <v>2007</v>
      </c>
      <c r="B982">
        <v>40</v>
      </c>
      <c r="C982" t="s">
        <v>5</v>
      </c>
      <c r="D982">
        <v>2</v>
      </c>
    </row>
    <row r="983" spans="1:8" x14ac:dyDescent="0.2">
      <c r="A983">
        <v>2007</v>
      </c>
      <c r="B983">
        <v>45</v>
      </c>
      <c r="C983" t="s">
        <v>5</v>
      </c>
      <c r="D983">
        <v>3</v>
      </c>
    </row>
    <row r="984" spans="1:8" x14ac:dyDescent="0.2">
      <c r="A984">
        <v>2007</v>
      </c>
      <c r="B984">
        <v>50</v>
      </c>
      <c r="C984" t="s">
        <v>5</v>
      </c>
      <c r="D984">
        <v>0</v>
      </c>
    </row>
    <row r="985" spans="1:8" x14ac:dyDescent="0.2">
      <c r="A985">
        <v>2007</v>
      </c>
      <c r="B985">
        <v>55</v>
      </c>
      <c r="C985" t="s">
        <v>5</v>
      </c>
      <c r="D985">
        <v>2</v>
      </c>
    </row>
    <row r="986" spans="1:8" x14ac:dyDescent="0.2">
      <c r="A986">
        <v>2007</v>
      </c>
      <c r="B986">
        <v>60</v>
      </c>
      <c r="C986" t="s">
        <v>5</v>
      </c>
      <c r="D986">
        <v>0</v>
      </c>
      <c r="F986" s="1"/>
      <c r="G986" s="1"/>
    </row>
    <row r="987" spans="1:8" x14ac:dyDescent="0.2">
      <c r="A987">
        <v>2007</v>
      </c>
      <c r="B987">
        <v>65</v>
      </c>
      <c r="C987" t="s">
        <v>5</v>
      </c>
      <c r="D987">
        <v>0</v>
      </c>
      <c r="F987" s="1"/>
      <c r="G987" s="1"/>
    </row>
    <row r="988" spans="1:8" x14ac:dyDescent="0.2">
      <c r="A988">
        <v>2007</v>
      </c>
      <c r="B988">
        <v>70</v>
      </c>
      <c r="C988" t="s">
        <v>5</v>
      </c>
      <c r="D988">
        <v>1</v>
      </c>
      <c r="F988" s="1"/>
      <c r="G988" s="1"/>
    </row>
    <row r="989" spans="1:8" x14ac:dyDescent="0.2">
      <c r="A989">
        <v>2007</v>
      </c>
      <c r="B989">
        <v>75</v>
      </c>
      <c r="C989" t="s">
        <v>5</v>
      </c>
      <c r="D989">
        <v>0</v>
      </c>
      <c r="F989" s="1"/>
      <c r="G989" s="1"/>
      <c r="H989" s="1"/>
    </row>
    <row r="990" spans="1:8" x14ac:dyDescent="0.2">
      <c r="A990">
        <v>2007</v>
      </c>
      <c r="B990">
        <v>80</v>
      </c>
      <c r="C990" t="s">
        <v>5</v>
      </c>
      <c r="D990">
        <v>1</v>
      </c>
      <c r="F990" s="1"/>
      <c r="G990" s="1"/>
    </row>
    <row r="991" spans="1:8" x14ac:dyDescent="0.2">
      <c r="A991">
        <v>2007</v>
      </c>
      <c r="B991">
        <v>85</v>
      </c>
      <c r="C991" t="s">
        <v>5</v>
      </c>
      <c r="D991">
        <v>1</v>
      </c>
      <c r="F991" s="1"/>
      <c r="G991" s="1"/>
    </row>
    <row r="992" spans="1:8" x14ac:dyDescent="0.2">
      <c r="A992">
        <v>2008</v>
      </c>
      <c r="B992">
        <v>0</v>
      </c>
      <c r="C992" t="s">
        <v>5</v>
      </c>
      <c r="D992">
        <v>3</v>
      </c>
      <c r="F992" s="1"/>
      <c r="G992" s="1"/>
    </row>
    <row r="993" spans="1:8" x14ac:dyDescent="0.2">
      <c r="A993">
        <v>2008</v>
      </c>
      <c r="B993">
        <v>1</v>
      </c>
      <c r="C993" t="s">
        <v>5</v>
      </c>
      <c r="D993">
        <v>2</v>
      </c>
    </row>
    <row r="994" spans="1:8" x14ac:dyDescent="0.2">
      <c r="A994">
        <v>2008</v>
      </c>
      <c r="B994">
        <v>5</v>
      </c>
      <c r="C994" t="s">
        <v>5</v>
      </c>
      <c r="D994">
        <v>0</v>
      </c>
    </row>
    <row r="995" spans="1:8" x14ac:dyDescent="0.2">
      <c r="A995">
        <v>2008</v>
      </c>
      <c r="B995">
        <v>10</v>
      </c>
      <c r="C995" t="s">
        <v>5</v>
      </c>
      <c r="D995">
        <v>1</v>
      </c>
    </row>
    <row r="996" spans="1:8" x14ac:dyDescent="0.2">
      <c r="A996">
        <v>2008</v>
      </c>
      <c r="B996">
        <v>15</v>
      </c>
      <c r="C996" t="s">
        <v>5</v>
      </c>
      <c r="D996">
        <v>2</v>
      </c>
    </row>
    <row r="997" spans="1:8" x14ac:dyDescent="0.2">
      <c r="A997">
        <v>2008</v>
      </c>
      <c r="B997">
        <v>20</v>
      </c>
      <c r="C997" t="s">
        <v>5</v>
      </c>
      <c r="D997">
        <v>5</v>
      </c>
    </row>
    <row r="998" spans="1:8" x14ac:dyDescent="0.2">
      <c r="A998">
        <v>2008</v>
      </c>
      <c r="B998">
        <v>25</v>
      </c>
      <c r="C998" t="s">
        <v>5</v>
      </c>
      <c r="D998">
        <v>4</v>
      </c>
    </row>
    <row r="999" spans="1:8" x14ac:dyDescent="0.2">
      <c r="A999">
        <v>2008</v>
      </c>
      <c r="B999">
        <v>30</v>
      </c>
      <c r="C999" t="s">
        <v>5</v>
      </c>
      <c r="D999">
        <v>7</v>
      </c>
    </row>
    <row r="1000" spans="1:8" x14ac:dyDescent="0.2">
      <c r="A1000">
        <v>2008</v>
      </c>
      <c r="B1000">
        <v>35</v>
      </c>
      <c r="C1000" t="s">
        <v>5</v>
      </c>
      <c r="D1000">
        <v>3</v>
      </c>
    </row>
    <row r="1001" spans="1:8" x14ac:dyDescent="0.2">
      <c r="A1001">
        <v>2008</v>
      </c>
      <c r="B1001">
        <v>40</v>
      </c>
      <c r="C1001" t="s">
        <v>5</v>
      </c>
      <c r="D1001">
        <v>2</v>
      </c>
      <c r="F1001" s="1"/>
      <c r="G1001" s="1"/>
    </row>
    <row r="1002" spans="1:8" x14ac:dyDescent="0.2">
      <c r="A1002">
        <v>2008</v>
      </c>
      <c r="B1002">
        <v>45</v>
      </c>
      <c r="C1002" t="s">
        <v>5</v>
      </c>
      <c r="D1002">
        <v>4</v>
      </c>
      <c r="F1002" s="1"/>
      <c r="G1002" s="1"/>
    </row>
    <row r="1003" spans="1:8" x14ac:dyDescent="0.2">
      <c r="A1003">
        <v>2008</v>
      </c>
      <c r="B1003">
        <v>50</v>
      </c>
      <c r="C1003" t="s">
        <v>5</v>
      </c>
      <c r="D1003">
        <v>2</v>
      </c>
      <c r="F1003" s="1"/>
      <c r="G1003" s="1"/>
    </row>
    <row r="1004" spans="1:8" x14ac:dyDescent="0.2">
      <c r="A1004">
        <v>2008</v>
      </c>
      <c r="B1004">
        <v>55</v>
      </c>
      <c r="C1004" t="s">
        <v>5</v>
      </c>
      <c r="D1004">
        <v>1</v>
      </c>
      <c r="F1004" s="1"/>
      <c r="G1004" s="1"/>
    </row>
    <row r="1005" spans="1:8" x14ac:dyDescent="0.2">
      <c r="A1005">
        <v>2008</v>
      </c>
      <c r="B1005">
        <v>60</v>
      </c>
      <c r="C1005" t="s">
        <v>5</v>
      </c>
      <c r="D1005">
        <v>1</v>
      </c>
      <c r="F1005" s="1"/>
      <c r="G1005" s="1"/>
    </row>
    <row r="1006" spans="1:8" x14ac:dyDescent="0.2">
      <c r="A1006">
        <v>2008</v>
      </c>
      <c r="B1006">
        <v>65</v>
      </c>
      <c r="C1006" t="s">
        <v>5</v>
      </c>
      <c r="D1006">
        <v>0</v>
      </c>
      <c r="F1006" s="1"/>
      <c r="G1006" s="1"/>
    </row>
    <row r="1007" spans="1:8" x14ac:dyDescent="0.2">
      <c r="A1007">
        <v>2008</v>
      </c>
      <c r="B1007">
        <v>70</v>
      </c>
      <c r="C1007" t="s">
        <v>5</v>
      </c>
      <c r="D1007">
        <v>0</v>
      </c>
      <c r="F1007" s="1"/>
      <c r="G1007" s="1"/>
    </row>
    <row r="1008" spans="1:8" x14ac:dyDescent="0.2">
      <c r="A1008">
        <v>2008</v>
      </c>
      <c r="B1008">
        <v>75</v>
      </c>
      <c r="C1008" t="s">
        <v>5</v>
      </c>
      <c r="D1008">
        <v>0</v>
      </c>
      <c r="F1008" s="1"/>
      <c r="G1008" s="1"/>
      <c r="H1008" s="1"/>
    </row>
    <row r="1009" spans="1:7" x14ac:dyDescent="0.2">
      <c r="A1009">
        <v>2008</v>
      </c>
      <c r="B1009">
        <v>80</v>
      </c>
      <c r="C1009" t="s">
        <v>5</v>
      </c>
      <c r="D1009">
        <v>1</v>
      </c>
      <c r="F1009" s="1"/>
      <c r="G1009" s="1"/>
    </row>
    <row r="1010" spans="1:7" x14ac:dyDescent="0.2">
      <c r="A1010">
        <v>2008</v>
      </c>
      <c r="B1010">
        <v>85</v>
      </c>
      <c r="C1010" t="s">
        <v>5</v>
      </c>
      <c r="D1010">
        <v>1</v>
      </c>
      <c r="F1010" s="1"/>
      <c r="G1010" s="1"/>
    </row>
    <row r="1011" spans="1:7" x14ac:dyDescent="0.2">
      <c r="A1011">
        <v>2009</v>
      </c>
      <c r="B1011">
        <v>0</v>
      </c>
      <c r="C1011" t="s">
        <v>5</v>
      </c>
      <c r="D1011">
        <v>1</v>
      </c>
    </row>
    <row r="1012" spans="1:7" x14ac:dyDescent="0.2">
      <c r="A1012">
        <v>2009</v>
      </c>
      <c r="B1012">
        <v>1</v>
      </c>
      <c r="C1012" t="s">
        <v>5</v>
      </c>
      <c r="D1012">
        <v>0</v>
      </c>
    </row>
    <row r="1013" spans="1:7" x14ac:dyDescent="0.2">
      <c r="A1013">
        <v>2009</v>
      </c>
      <c r="B1013">
        <v>5</v>
      </c>
      <c r="C1013" t="s">
        <v>5</v>
      </c>
      <c r="D1013">
        <v>1</v>
      </c>
    </row>
    <row r="1014" spans="1:7" x14ac:dyDescent="0.2">
      <c r="A1014">
        <v>2009</v>
      </c>
      <c r="B1014">
        <v>10</v>
      </c>
      <c r="C1014" t="s">
        <v>5</v>
      </c>
      <c r="D1014">
        <v>0</v>
      </c>
    </row>
    <row r="1015" spans="1:7" x14ac:dyDescent="0.2">
      <c r="A1015">
        <v>2009</v>
      </c>
      <c r="B1015">
        <v>15</v>
      </c>
      <c r="C1015" t="s">
        <v>5</v>
      </c>
      <c r="D1015">
        <v>0</v>
      </c>
    </row>
    <row r="1016" spans="1:7" x14ac:dyDescent="0.2">
      <c r="A1016">
        <v>2009</v>
      </c>
      <c r="B1016">
        <v>20</v>
      </c>
      <c r="C1016" t="s">
        <v>5</v>
      </c>
      <c r="D1016">
        <v>7</v>
      </c>
    </row>
    <row r="1017" spans="1:7" x14ac:dyDescent="0.2">
      <c r="A1017">
        <v>2009</v>
      </c>
      <c r="B1017">
        <v>25</v>
      </c>
      <c r="C1017" t="s">
        <v>5</v>
      </c>
      <c r="D1017">
        <v>10</v>
      </c>
    </row>
    <row r="1018" spans="1:7" x14ac:dyDescent="0.2">
      <c r="A1018">
        <v>2009</v>
      </c>
      <c r="B1018">
        <v>30</v>
      </c>
      <c r="C1018" t="s">
        <v>5</v>
      </c>
      <c r="D1018">
        <v>6</v>
      </c>
    </row>
    <row r="1019" spans="1:7" x14ac:dyDescent="0.2">
      <c r="A1019">
        <v>2009</v>
      </c>
      <c r="B1019">
        <v>35</v>
      </c>
      <c r="C1019" t="s">
        <v>5</v>
      </c>
      <c r="D1019">
        <v>6</v>
      </c>
    </row>
    <row r="1020" spans="1:7" x14ac:dyDescent="0.2">
      <c r="A1020">
        <v>2009</v>
      </c>
      <c r="B1020">
        <v>40</v>
      </c>
      <c r="C1020" t="s">
        <v>5</v>
      </c>
      <c r="D1020">
        <v>2</v>
      </c>
    </row>
    <row r="1021" spans="1:7" x14ac:dyDescent="0.2">
      <c r="A1021">
        <v>2009</v>
      </c>
      <c r="B1021">
        <v>45</v>
      </c>
      <c r="C1021" t="s">
        <v>5</v>
      </c>
      <c r="D1021">
        <v>1</v>
      </c>
    </row>
    <row r="1022" spans="1:7" x14ac:dyDescent="0.2">
      <c r="A1022">
        <v>2009</v>
      </c>
      <c r="B1022">
        <v>50</v>
      </c>
      <c r="C1022" t="s">
        <v>5</v>
      </c>
      <c r="D1022">
        <v>3</v>
      </c>
    </row>
    <row r="1023" spans="1:7" x14ac:dyDescent="0.2">
      <c r="A1023">
        <v>2009</v>
      </c>
      <c r="B1023">
        <v>55</v>
      </c>
      <c r="C1023" t="s">
        <v>5</v>
      </c>
      <c r="D1023">
        <v>2</v>
      </c>
    </row>
    <row r="1024" spans="1:7" x14ac:dyDescent="0.2">
      <c r="A1024">
        <v>2009</v>
      </c>
      <c r="B1024">
        <v>60</v>
      </c>
      <c r="C1024" t="s">
        <v>5</v>
      </c>
      <c r="D1024">
        <v>3</v>
      </c>
      <c r="F1024" s="1"/>
      <c r="G1024" s="1"/>
    </row>
    <row r="1025" spans="1:8" x14ac:dyDescent="0.2">
      <c r="A1025">
        <v>2009</v>
      </c>
      <c r="B1025">
        <v>65</v>
      </c>
      <c r="C1025" t="s">
        <v>5</v>
      </c>
      <c r="D1025">
        <v>1</v>
      </c>
      <c r="F1025" s="1"/>
      <c r="G1025" s="1"/>
    </row>
    <row r="1026" spans="1:8" x14ac:dyDescent="0.2">
      <c r="A1026">
        <v>2009</v>
      </c>
      <c r="B1026">
        <v>70</v>
      </c>
      <c r="C1026" t="s">
        <v>5</v>
      </c>
      <c r="D1026">
        <v>1</v>
      </c>
      <c r="F1026" s="1"/>
      <c r="G1026" s="1"/>
    </row>
    <row r="1027" spans="1:8" x14ac:dyDescent="0.2">
      <c r="A1027">
        <v>2009</v>
      </c>
      <c r="B1027">
        <v>75</v>
      </c>
      <c r="C1027" t="s">
        <v>5</v>
      </c>
      <c r="D1027">
        <v>1</v>
      </c>
      <c r="F1027" s="1"/>
      <c r="G1027" s="1"/>
      <c r="H1027" s="1"/>
    </row>
    <row r="1028" spans="1:8" x14ac:dyDescent="0.2">
      <c r="A1028">
        <v>2009</v>
      </c>
      <c r="B1028">
        <v>80</v>
      </c>
      <c r="C1028" t="s">
        <v>5</v>
      </c>
      <c r="D1028">
        <v>1</v>
      </c>
      <c r="F1028" s="1"/>
      <c r="G1028" s="1"/>
    </row>
    <row r="1029" spans="1:8" x14ac:dyDescent="0.2">
      <c r="A1029">
        <v>2009</v>
      </c>
      <c r="B1029">
        <v>85</v>
      </c>
      <c r="C1029" t="s">
        <v>5</v>
      </c>
      <c r="D1029">
        <v>1</v>
      </c>
      <c r="F1029" s="1"/>
      <c r="G1029" s="1"/>
    </row>
    <row r="1030" spans="1:8" x14ac:dyDescent="0.2">
      <c r="A1030">
        <v>2010</v>
      </c>
      <c r="B1030">
        <v>0</v>
      </c>
      <c r="C1030" t="s">
        <v>5</v>
      </c>
      <c r="D1030">
        <v>2</v>
      </c>
      <c r="F1030" s="1"/>
      <c r="G1030" s="1"/>
    </row>
    <row r="1031" spans="1:8" x14ac:dyDescent="0.2">
      <c r="A1031">
        <v>2010</v>
      </c>
      <c r="B1031">
        <v>1</v>
      </c>
      <c r="C1031" t="s">
        <v>5</v>
      </c>
      <c r="D1031">
        <v>1</v>
      </c>
    </row>
    <row r="1032" spans="1:8" x14ac:dyDescent="0.2">
      <c r="A1032">
        <v>2010</v>
      </c>
      <c r="B1032">
        <v>5</v>
      </c>
      <c r="C1032" t="s">
        <v>5</v>
      </c>
      <c r="D1032">
        <v>1</v>
      </c>
    </row>
    <row r="1033" spans="1:8" x14ac:dyDescent="0.2">
      <c r="A1033">
        <v>2010</v>
      </c>
      <c r="B1033">
        <v>10</v>
      </c>
      <c r="C1033" t="s">
        <v>5</v>
      </c>
      <c r="D1033">
        <v>2</v>
      </c>
    </row>
    <row r="1034" spans="1:8" x14ac:dyDescent="0.2">
      <c r="A1034">
        <v>2010</v>
      </c>
      <c r="B1034">
        <v>15</v>
      </c>
      <c r="C1034" t="s">
        <v>5</v>
      </c>
      <c r="D1034">
        <v>1</v>
      </c>
    </row>
    <row r="1035" spans="1:8" x14ac:dyDescent="0.2">
      <c r="A1035">
        <v>2010</v>
      </c>
      <c r="B1035">
        <v>20</v>
      </c>
      <c r="C1035" t="s">
        <v>5</v>
      </c>
      <c r="D1035">
        <v>7</v>
      </c>
    </row>
    <row r="1036" spans="1:8" x14ac:dyDescent="0.2">
      <c r="A1036">
        <v>2010</v>
      </c>
      <c r="B1036">
        <v>25</v>
      </c>
      <c r="C1036" t="s">
        <v>5</v>
      </c>
      <c r="D1036">
        <v>3</v>
      </c>
    </row>
    <row r="1037" spans="1:8" x14ac:dyDescent="0.2">
      <c r="A1037">
        <v>2010</v>
      </c>
      <c r="B1037">
        <v>30</v>
      </c>
      <c r="C1037" t="s">
        <v>5</v>
      </c>
      <c r="D1037">
        <v>6</v>
      </c>
    </row>
    <row r="1038" spans="1:8" x14ac:dyDescent="0.2">
      <c r="A1038">
        <v>2010</v>
      </c>
      <c r="B1038">
        <v>35</v>
      </c>
      <c r="C1038" t="s">
        <v>5</v>
      </c>
      <c r="D1038">
        <v>3</v>
      </c>
    </row>
    <row r="1039" spans="1:8" x14ac:dyDescent="0.2">
      <c r="A1039">
        <v>2010</v>
      </c>
      <c r="B1039">
        <v>40</v>
      </c>
      <c r="C1039" t="s">
        <v>5</v>
      </c>
      <c r="D1039">
        <v>3</v>
      </c>
    </row>
    <row r="1040" spans="1:8" x14ac:dyDescent="0.2">
      <c r="A1040">
        <v>2010</v>
      </c>
      <c r="B1040">
        <v>45</v>
      </c>
      <c r="C1040" t="s">
        <v>5</v>
      </c>
      <c r="D1040">
        <v>1</v>
      </c>
      <c r="F1040" s="1"/>
      <c r="G1040" s="1"/>
    </row>
    <row r="1041" spans="1:8" x14ac:dyDescent="0.2">
      <c r="A1041">
        <v>2010</v>
      </c>
      <c r="B1041">
        <v>50</v>
      </c>
      <c r="C1041" t="s">
        <v>5</v>
      </c>
      <c r="D1041">
        <v>3</v>
      </c>
      <c r="F1041" s="1"/>
      <c r="G1041" s="1"/>
    </row>
    <row r="1042" spans="1:8" x14ac:dyDescent="0.2">
      <c r="A1042">
        <v>2010</v>
      </c>
      <c r="B1042">
        <v>55</v>
      </c>
      <c r="C1042" t="s">
        <v>5</v>
      </c>
      <c r="D1042">
        <v>2</v>
      </c>
      <c r="F1042" s="1"/>
      <c r="G1042" s="1"/>
    </row>
    <row r="1043" spans="1:8" x14ac:dyDescent="0.2">
      <c r="A1043">
        <v>2010</v>
      </c>
      <c r="B1043">
        <v>60</v>
      </c>
      <c r="C1043" t="s">
        <v>5</v>
      </c>
      <c r="D1043">
        <v>3</v>
      </c>
      <c r="F1043" s="1"/>
      <c r="G1043" s="1"/>
    </row>
    <row r="1044" spans="1:8" x14ac:dyDescent="0.2">
      <c r="A1044">
        <v>2010</v>
      </c>
      <c r="B1044">
        <v>65</v>
      </c>
      <c r="C1044" t="s">
        <v>5</v>
      </c>
      <c r="D1044">
        <v>0</v>
      </c>
      <c r="F1044" s="1"/>
      <c r="G1044" s="1"/>
    </row>
    <row r="1045" spans="1:8" x14ac:dyDescent="0.2">
      <c r="A1045">
        <v>2010</v>
      </c>
      <c r="B1045">
        <v>70</v>
      </c>
      <c r="C1045" t="s">
        <v>5</v>
      </c>
      <c r="D1045">
        <v>3</v>
      </c>
      <c r="F1045" s="1"/>
      <c r="G1045" s="1"/>
    </row>
    <row r="1046" spans="1:8" x14ac:dyDescent="0.2">
      <c r="A1046">
        <v>2010</v>
      </c>
      <c r="B1046">
        <v>75</v>
      </c>
      <c r="C1046" t="s">
        <v>5</v>
      </c>
      <c r="D1046">
        <v>2</v>
      </c>
      <c r="F1046" s="1"/>
      <c r="G1046" s="1"/>
      <c r="H1046" s="1"/>
    </row>
    <row r="1047" spans="1:8" x14ac:dyDescent="0.2">
      <c r="A1047">
        <v>2010</v>
      </c>
      <c r="B1047">
        <v>80</v>
      </c>
      <c r="C1047" t="s">
        <v>5</v>
      </c>
      <c r="D1047">
        <v>0</v>
      </c>
      <c r="F1047" s="1"/>
      <c r="G1047" s="1"/>
    </row>
    <row r="1048" spans="1:8" x14ac:dyDescent="0.2">
      <c r="A1048">
        <v>2010</v>
      </c>
      <c r="B1048">
        <v>85</v>
      </c>
      <c r="C1048" t="s">
        <v>5</v>
      </c>
      <c r="D1048">
        <v>0</v>
      </c>
      <c r="F1048" s="1"/>
      <c r="G1048" s="1"/>
    </row>
    <row r="1049" spans="1:8" x14ac:dyDescent="0.2">
      <c r="A1049">
        <v>2011</v>
      </c>
      <c r="B1049">
        <v>0</v>
      </c>
      <c r="C1049" t="s">
        <v>5</v>
      </c>
      <c r="D1049">
        <v>1</v>
      </c>
    </row>
    <row r="1050" spans="1:8" x14ac:dyDescent="0.2">
      <c r="A1050">
        <v>2011</v>
      </c>
      <c r="B1050">
        <v>1</v>
      </c>
      <c r="C1050" t="s">
        <v>5</v>
      </c>
      <c r="D1050">
        <v>3</v>
      </c>
    </row>
    <row r="1051" spans="1:8" x14ac:dyDescent="0.2">
      <c r="A1051">
        <v>2011</v>
      </c>
      <c r="B1051">
        <v>5</v>
      </c>
      <c r="C1051" t="s">
        <v>5</v>
      </c>
      <c r="D1051">
        <v>3</v>
      </c>
    </row>
    <row r="1052" spans="1:8" x14ac:dyDescent="0.2">
      <c r="A1052">
        <v>2011</v>
      </c>
      <c r="B1052">
        <v>10</v>
      </c>
      <c r="C1052" t="s">
        <v>5</v>
      </c>
      <c r="D1052">
        <v>2</v>
      </c>
    </row>
    <row r="1053" spans="1:8" x14ac:dyDescent="0.2">
      <c r="A1053">
        <v>2011</v>
      </c>
      <c r="B1053">
        <v>15</v>
      </c>
      <c r="C1053" t="s">
        <v>5</v>
      </c>
      <c r="D1053">
        <v>4</v>
      </c>
    </row>
    <row r="1054" spans="1:8" x14ac:dyDescent="0.2">
      <c r="A1054">
        <v>2011</v>
      </c>
      <c r="B1054">
        <v>20</v>
      </c>
      <c r="C1054" t="s">
        <v>5</v>
      </c>
      <c r="D1054">
        <v>8</v>
      </c>
    </row>
    <row r="1055" spans="1:8" x14ac:dyDescent="0.2">
      <c r="A1055">
        <v>2011</v>
      </c>
      <c r="B1055">
        <v>25</v>
      </c>
      <c r="C1055" t="s">
        <v>5</v>
      </c>
      <c r="D1055">
        <v>6</v>
      </c>
    </row>
    <row r="1056" spans="1:8" x14ac:dyDescent="0.2">
      <c r="A1056">
        <v>2011</v>
      </c>
      <c r="B1056">
        <v>30</v>
      </c>
      <c r="C1056" t="s">
        <v>5</v>
      </c>
      <c r="D1056">
        <v>2</v>
      </c>
    </row>
    <row r="1057" spans="1:8" x14ac:dyDescent="0.2">
      <c r="A1057">
        <v>2011</v>
      </c>
      <c r="B1057">
        <v>35</v>
      </c>
      <c r="C1057" t="s">
        <v>5</v>
      </c>
      <c r="D1057">
        <v>7</v>
      </c>
    </row>
    <row r="1058" spans="1:8" x14ac:dyDescent="0.2">
      <c r="A1058">
        <v>2011</v>
      </c>
      <c r="B1058">
        <v>40</v>
      </c>
      <c r="C1058" t="s">
        <v>5</v>
      </c>
      <c r="D1058">
        <v>2</v>
      </c>
    </row>
    <row r="1059" spans="1:8" x14ac:dyDescent="0.2">
      <c r="A1059">
        <v>2011</v>
      </c>
      <c r="B1059">
        <v>45</v>
      </c>
      <c r="C1059" t="s">
        <v>5</v>
      </c>
      <c r="D1059">
        <v>3</v>
      </c>
      <c r="F1059" s="1"/>
    </row>
    <row r="1060" spans="1:8" x14ac:dyDescent="0.2">
      <c r="A1060">
        <v>2011</v>
      </c>
      <c r="B1060">
        <v>50</v>
      </c>
      <c r="C1060" t="s">
        <v>5</v>
      </c>
      <c r="D1060">
        <v>2</v>
      </c>
    </row>
    <row r="1061" spans="1:8" x14ac:dyDescent="0.2">
      <c r="A1061">
        <v>2011</v>
      </c>
      <c r="B1061">
        <v>55</v>
      </c>
      <c r="C1061" t="s">
        <v>5</v>
      </c>
      <c r="D1061">
        <v>2</v>
      </c>
    </row>
    <row r="1062" spans="1:8" x14ac:dyDescent="0.2">
      <c r="A1062">
        <v>2011</v>
      </c>
      <c r="B1062">
        <v>60</v>
      </c>
      <c r="C1062" t="s">
        <v>5</v>
      </c>
      <c r="D1062">
        <v>2</v>
      </c>
    </row>
    <row r="1063" spans="1:8" x14ac:dyDescent="0.2">
      <c r="A1063">
        <v>2011</v>
      </c>
      <c r="B1063">
        <v>65</v>
      </c>
      <c r="C1063" t="s">
        <v>5</v>
      </c>
      <c r="D1063">
        <v>1</v>
      </c>
      <c r="F1063" s="1"/>
      <c r="G1063" s="1"/>
    </row>
    <row r="1064" spans="1:8" x14ac:dyDescent="0.2">
      <c r="A1064">
        <v>2011</v>
      </c>
      <c r="B1064">
        <v>70</v>
      </c>
      <c r="C1064" t="s">
        <v>5</v>
      </c>
      <c r="D1064">
        <v>2</v>
      </c>
      <c r="F1064" s="1"/>
      <c r="G1064" s="1"/>
    </row>
    <row r="1065" spans="1:8" x14ac:dyDescent="0.2">
      <c r="A1065">
        <v>2011</v>
      </c>
      <c r="B1065">
        <v>75</v>
      </c>
      <c r="C1065" t="s">
        <v>5</v>
      </c>
      <c r="D1065">
        <v>2</v>
      </c>
      <c r="F1065" s="1"/>
      <c r="G1065" s="1"/>
      <c r="H1065" s="1"/>
    </row>
    <row r="1066" spans="1:8" x14ac:dyDescent="0.2">
      <c r="A1066">
        <v>2011</v>
      </c>
      <c r="B1066">
        <v>80</v>
      </c>
      <c r="C1066" t="s">
        <v>5</v>
      </c>
      <c r="D1066">
        <v>2</v>
      </c>
      <c r="F1066" s="1"/>
      <c r="G1066" s="1"/>
    </row>
    <row r="1067" spans="1:8" x14ac:dyDescent="0.2">
      <c r="A1067">
        <v>2011</v>
      </c>
      <c r="B1067">
        <v>85</v>
      </c>
      <c r="C1067" t="s">
        <v>5</v>
      </c>
      <c r="D1067">
        <v>0</v>
      </c>
      <c r="F1067" s="1"/>
      <c r="G1067" s="1"/>
    </row>
    <row r="1068" spans="1:8" x14ac:dyDescent="0.2">
      <c r="A1068">
        <v>2012</v>
      </c>
      <c r="B1068">
        <v>0</v>
      </c>
      <c r="C1068" t="s">
        <v>5</v>
      </c>
      <c r="D1068">
        <v>1</v>
      </c>
      <c r="F1068" s="1"/>
      <c r="G1068" s="1"/>
    </row>
    <row r="1069" spans="1:8" x14ac:dyDescent="0.2">
      <c r="A1069">
        <v>2012</v>
      </c>
      <c r="B1069">
        <v>1</v>
      </c>
      <c r="C1069" t="s">
        <v>5</v>
      </c>
      <c r="D1069">
        <v>4</v>
      </c>
    </row>
    <row r="1070" spans="1:8" x14ac:dyDescent="0.2">
      <c r="A1070">
        <v>2012</v>
      </c>
      <c r="B1070">
        <v>10</v>
      </c>
      <c r="C1070" t="s">
        <v>5</v>
      </c>
      <c r="D1070">
        <v>0</v>
      </c>
    </row>
    <row r="1071" spans="1:8" x14ac:dyDescent="0.2">
      <c r="A1071">
        <v>2012</v>
      </c>
      <c r="B1071">
        <v>15</v>
      </c>
      <c r="C1071" t="s">
        <v>5</v>
      </c>
      <c r="D1071">
        <v>7</v>
      </c>
    </row>
    <row r="1072" spans="1:8" x14ac:dyDescent="0.2">
      <c r="A1072">
        <v>2012</v>
      </c>
      <c r="B1072">
        <v>20</v>
      </c>
      <c r="C1072" t="s">
        <v>5</v>
      </c>
      <c r="D1072">
        <v>10</v>
      </c>
    </row>
    <row r="1073" spans="1:10" x14ac:dyDescent="0.2">
      <c r="A1073">
        <v>2012</v>
      </c>
      <c r="B1073">
        <v>25</v>
      </c>
      <c r="C1073" t="s">
        <v>5</v>
      </c>
      <c r="D1073">
        <v>4</v>
      </c>
    </row>
    <row r="1074" spans="1:10" x14ac:dyDescent="0.2">
      <c r="A1074">
        <v>2012</v>
      </c>
      <c r="B1074">
        <v>30</v>
      </c>
      <c r="C1074" t="s">
        <v>5</v>
      </c>
      <c r="D1074">
        <v>9</v>
      </c>
    </row>
    <row r="1075" spans="1:10" x14ac:dyDescent="0.2">
      <c r="A1075">
        <v>2012</v>
      </c>
      <c r="B1075">
        <v>35</v>
      </c>
      <c r="C1075" t="s">
        <v>5</v>
      </c>
      <c r="D1075">
        <v>6</v>
      </c>
    </row>
    <row r="1076" spans="1:10" x14ac:dyDescent="0.2">
      <c r="A1076">
        <v>2012</v>
      </c>
      <c r="B1076">
        <v>40</v>
      </c>
      <c r="C1076" t="s">
        <v>5</v>
      </c>
      <c r="D1076">
        <v>4</v>
      </c>
    </row>
    <row r="1077" spans="1:10" x14ac:dyDescent="0.2">
      <c r="A1077">
        <v>2012</v>
      </c>
      <c r="B1077">
        <v>45</v>
      </c>
      <c r="C1077" t="s">
        <v>5</v>
      </c>
      <c r="D1077">
        <v>1</v>
      </c>
      <c r="F1077" s="1"/>
      <c r="G1077" s="1"/>
    </row>
    <row r="1078" spans="1:10" x14ac:dyDescent="0.2">
      <c r="A1078">
        <v>2012</v>
      </c>
      <c r="B1078">
        <v>50</v>
      </c>
      <c r="C1078" t="s">
        <v>5</v>
      </c>
      <c r="D1078">
        <v>6</v>
      </c>
      <c r="F1078" s="1"/>
      <c r="G1078" s="1"/>
    </row>
    <row r="1079" spans="1:10" x14ac:dyDescent="0.2">
      <c r="A1079">
        <v>2012</v>
      </c>
      <c r="B1079">
        <v>55</v>
      </c>
      <c r="C1079" t="s">
        <v>5</v>
      </c>
      <c r="D1079">
        <v>2</v>
      </c>
      <c r="F1079" s="1"/>
      <c r="G1079" s="1"/>
    </row>
    <row r="1080" spans="1:10" x14ac:dyDescent="0.2">
      <c r="A1080">
        <v>2012</v>
      </c>
      <c r="B1080">
        <v>60</v>
      </c>
      <c r="C1080" t="s">
        <v>5</v>
      </c>
      <c r="D1080">
        <v>0</v>
      </c>
      <c r="F1080" s="1"/>
      <c r="G1080" s="1"/>
    </row>
    <row r="1081" spans="1:10" x14ac:dyDescent="0.2">
      <c r="A1081">
        <v>2012</v>
      </c>
      <c r="B1081">
        <v>65</v>
      </c>
      <c r="C1081" t="s">
        <v>5</v>
      </c>
      <c r="D1081">
        <v>3</v>
      </c>
      <c r="F1081" s="1"/>
      <c r="G1081" s="1"/>
    </row>
    <row r="1082" spans="1:10" x14ac:dyDescent="0.2">
      <c r="A1082">
        <v>2012</v>
      </c>
      <c r="B1082">
        <v>70</v>
      </c>
      <c r="C1082" t="s">
        <v>5</v>
      </c>
      <c r="D1082">
        <v>2</v>
      </c>
      <c r="F1082" s="1"/>
      <c r="G1082" s="1"/>
    </row>
    <row r="1083" spans="1:10" x14ac:dyDescent="0.2">
      <c r="A1083">
        <v>2012</v>
      </c>
      <c r="B1083">
        <v>75</v>
      </c>
      <c r="C1083" t="s">
        <v>5</v>
      </c>
      <c r="D1083">
        <v>1</v>
      </c>
      <c r="F1083" s="1"/>
      <c r="G1083" s="1"/>
    </row>
    <row r="1084" spans="1:10" x14ac:dyDescent="0.2">
      <c r="A1084">
        <v>2012</v>
      </c>
      <c r="B1084">
        <v>80</v>
      </c>
      <c r="C1084" t="s">
        <v>5</v>
      </c>
      <c r="D1084">
        <v>1</v>
      </c>
      <c r="H1084" s="1"/>
      <c r="J1084" s="1"/>
    </row>
    <row r="1085" spans="1:10" x14ac:dyDescent="0.2">
      <c r="A1085">
        <v>2012</v>
      </c>
      <c r="B1085">
        <v>85</v>
      </c>
      <c r="C1085" t="s">
        <v>5</v>
      </c>
      <c r="D1085">
        <v>0</v>
      </c>
      <c r="F1085" s="1"/>
      <c r="G1085" s="1"/>
      <c r="H1085" s="1"/>
    </row>
    <row r="1086" spans="1:10" x14ac:dyDescent="0.2">
      <c r="A1086">
        <v>2013</v>
      </c>
      <c r="B1086">
        <v>0</v>
      </c>
      <c r="C1086" t="s">
        <v>5</v>
      </c>
      <c r="D1086">
        <v>3</v>
      </c>
      <c r="F1086" s="1"/>
      <c r="G1086" s="1"/>
    </row>
    <row r="1087" spans="1:10" x14ac:dyDescent="0.2">
      <c r="A1087">
        <v>2013</v>
      </c>
      <c r="B1087">
        <v>1</v>
      </c>
      <c r="C1087" t="s">
        <v>5</v>
      </c>
      <c r="D1087">
        <v>3</v>
      </c>
    </row>
    <row r="1088" spans="1:10" x14ac:dyDescent="0.2">
      <c r="A1088">
        <v>2013</v>
      </c>
      <c r="B1088">
        <v>5</v>
      </c>
      <c r="C1088" t="s">
        <v>5</v>
      </c>
      <c r="D1088">
        <v>0</v>
      </c>
    </row>
    <row r="1089" spans="1:8" x14ac:dyDescent="0.2">
      <c r="A1089">
        <v>2013</v>
      </c>
      <c r="B1089">
        <v>10</v>
      </c>
      <c r="C1089" t="s">
        <v>5</v>
      </c>
      <c r="D1089">
        <v>1</v>
      </c>
    </row>
    <row r="1090" spans="1:8" x14ac:dyDescent="0.2">
      <c r="A1090">
        <v>2013</v>
      </c>
      <c r="B1090">
        <v>15</v>
      </c>
      <c r="C1090" t="s">
        <v>5</v>
      </c>
      <c r="D1090">
        <v>5</v>
      </c>
    </row>
    <row r="1091" spans="1:8" x14ac:dyDescent="0.2">
      <c r="A1091">
        <v>2013</v>
      </c>
      <c r="B1091">
        <v>20</v>
      </c>
      <c r="C1091" t="s">
        <v>5</v>
      </c>
      <c r="D1091">
        <v>10</v>
      </c>
    </row>
    <row r="1092" spans="1:8" x14ac:dyDescent="0.2">
      <c r="A1092">
        <v>2013</v>
      </c>
      <c r="B1092">
        <v>25</v>
      </c>
      <c r="C1092" t="s">
        <v>5</v>
      </c>
      <c r="D1092">
        <v>9</v>
      </c>
    </row>
    <row r="1093" spans="1:8" x14ac:dyDescent="0.2">
      <c r="A1093">
        <v>2013</v>
      </c>
      <c r="B1093">
        <v>30</v>
      </c>
      <c r="C1093" t="s">
        <v>5</v>
      </c>
      <c r="D1093">
        <v>5</v>
      </c>
    </row>
    <row r="1094" spans="1:8" x14ac:dyDescent="0.2">
      <c r="A1094">
        <v>2013</v>
      </c>
      <c r="B1094">
        <v>35</v>
      </c>
      <c r="C1094" t="s">
        <v>5</v>
      </c>
      <c r="D1094">
        <v>9</v>
      </c>
    </row>
    <row r="1095" spans="1:8" x14ac:dyDescent="0.2">
      <c r="A1095">
        <v>2013</v>
      </c>
      <c r="B1095">
        <v>40</v>
      </c>
      <c r="C1095" t="s">
        <v>5</v>
      </c>
      <c r="D1095">
        <v>7</v>
      </c>
    </row>
    <row r="1096" spans="1:8" x14ac:dyDescent="0.2">
      <c r="A1096">
        <v>2013</v>
      </c>
      <c r="B1096">
        <v>45</v>
      </c>
      <c r="C1096" t="s">
        <v>5</v>
      </c>
      <c r="D1096">
        <v>3</v>
      </c>
    </row>
    <row r="1097" spans="1:8" x14ac:dyDescent="0.2">
      <c r="A1097">
        <v>2013</v>
      </c>
      <c r="B1097">
        <v>50</v>
      </c>
      <c r="C1097" t="s">
        <v>5</v>
      </c>
      <c r="D1097">
        <v>2</v>
      </c>
    </row>
    <row r="1098" spans="1:8" x14ac:dyDescent="0.2">
      <c r="A1098">
        <v>2013</v>
      </c>
      <c r="B1098">
        <v>55</v>
      </c>
      <c r="C1098" t="s">
        <v>5</v>
      </c>
      <c r="D1098">
        <v>1</v>
      </c>
    </row>
    <row r="1099" spans="1:8" x14ac:dyDescent="0.2">
      <c r="A1099">
        <v>2013</v>
      </c>
      <c r="B1099">
        <v>60</v>
      </c>
      <c r="C1099" t="s">
        <v>5</v>
      </c>
      <c r="D1099">
        <v>1</v>
      </c>
    </row>
    <row r="1100" spans="1:8" x14ac:dyDescent="0.2">
      <c r="A1100">
        <v>2013</v>
      </c>
      <c r="B1100">
        <v>65</v>
      </c>
      <c r="C1100" t="s">
        <v>5</v>
      </c>
      <c r="D1100">
        <v>2</v>
      </c>
      <c r="F1100" s="1"/>
      <c r="G1100" s="1"/>
    </row>
    <row r="1101" spans="1:8" x14ac:dyDescent="0.2">
      <c r="A1101">
        <v>2013</v>
      </c>
      <c r="B1101">
        <v>70</v>
      </c>
      <c r="C1101" t="s">
        <v>5</v>
      </c>
      <c r="D1101">
        <v>3</v>
      </c>
      <c r="F1101" s="1"/>
      <c r="G1101" s="1"/>
    </row>
    <row r="1102" spans="1:8" x14ac:dyDescent="0.2">
      <c r="A1102">
        <v>2013</v>
      </c>
      <c r="B1102">
        <v>75</v>
      </c>
      <c r="C1102" t="s">
        <v>5</v>
      </c>
      <c r="D1102">
        <v>2</v>
      </c>
      <c r="F1102" s="1"/>
      <c r="G1102" s="1"/>
    </row>
    <row r="1103" spans="1:8" x14ac:dyDescent="0.2">
      <c r="A1103">
        <v>2013</v>
      </c>
      <c r="B1103">
        <v>80</v>
      </c>
      <c r="C1103" t="s">
        <v>5</v>
      </c>
      <c r="D1103">
        <v>2</v>
      </c>
      <c r="F1103" s="1"/>
      <c r="G1103" s="1"/>
      <c r="H1103" s="1"/>
    </row>
    <row r="1104" spans="1:8" x14ac:dyDescent="0.2">
      <c r="A1104">
        <v>2013</v>
      </c>
      <c r="B1104">
        <v>85</v>
      </c>
      <c r="C1104" t="s">
        <v>5</v>
      </c>
      <c r="D1104">
        <v>1</v>
      </c>
      <c r="F1104" s="1"/>
      <c r="G1104" s="1"/>
    </row>
    <row r="1105" spans="1:7" x14ac:dyDescent="0.2">
      <c r="A1105">
        <v>2014</v>
      </c>
      <c r="B1105">
        <v>0</v>
      </c>
      <c r="C1105" t="s">
        <v>5</v>
      </c>
      <c r="D1105">
        <v>0</v>
      </c>
      <c r="F1105" s="1"/>
      <c r="G1105" s="1"/>
    </row>
    <row r="1106" spans="1:7" x14ac:dyDescent="0.2">
      <c r="A1106">
        <v>2014</v>
      </c>
      <c r="B1106">
        <v>1</v>
      </c>
      <c r="C1106" t="s">
        <v>5</v>
      </c>
      <c r="D1106">
        <v>1</v>
      </c>
      <c r="F1106" s="1"/>
      <c r="G1106" s="1"/>
    </row>
    <row r="1107" spans="1:7" x14ac:dyDescent="0.2">
      <c r="A1107">
        <v>2014</v>
      </c>
      <c r="B1107">
        <v>5</v>
      </c>
      <c r="C1107" t="s">
        <v>5</v>
      </c>
      <c r="D1107">
        <v>1</v>
      </c>
    </row>
    <row r="1108" spans="1:7" x14ac:dyDescent="0.2">
      <c r="A1108">
        <v>2014</v>
      </c>
      <c r="B1108">
        <v>10</v>
      </c>
      <c r="C1108" t="s">
        <v>5</v>
      </c>
      <c r="D1108">
        <v>2</v>
      </c>
    </row>
    <row r="1109" spans="1:7" x14ac:dyDescent="0.2">
      <c r="A1109">
        <v>2014</v>
      </c>
      <c r="B1109">
        <v>15</v>
      </c>
      <c r="C1109" t="s">
        <v>5</v>
      </c>
      <c r="D1109">
        <v>6</v>
      </c>
    </row>
    <row r="1110" spans="1:7" x14ac:dyDescent="0.2">
      <c r="A1110">
        <v>2014</v>
      </c>
      <c r="B1110">
        <v>20</v>
      </c>
      <c r="C1110" t="s">
        <v>5</v>
      </c>
      <c r="D1110">
        <v>12</v>
      </c>
    </row>
    <row r="1111" spans="1:7" x14ac:dyDescent="0.2">
      <c r="A1111">
        <v>2014</v>
      </c>
      <c r="B1111">
        <v>25</v>
      </c>
      <c r="C1111" t="s">
        <v>5</v>
      </c>
      <c r="D1111">
        <v>7</v>
      </c>
    </row>
    <row r="1112" spans="1:7" x14ac:dyDescent="0.2">
      <c r="A1112">
        <v>2014</v>
      </c>
      <c r="B1112">
        <v>30</v>
      </c>
      <c r="C1112" t="s">
        <v>5</v>
      </c>
      <c r="D1112">
        <v>8</v>
      </c>
    </row>
    <row r="1113" spans="1:7" x14ac:dyDescent="0.2">
      <c r="A1113">
        <v>2014</v>
      </c>
      <c r="B1113">
        <v>35</v>
      </c>
      <c r="C1113" t="s">
        <v>5</v>
      </c>
      <c r="D1113">
        <v>5</v>
      </c>
    </row>
    <row r="1114" spans="1:7" x14ac:dyDescent="0.2">
      <c r="A1114">
        <v>2014</v>
      </c>
      <c r="B1114">
        <v>40</v>
      </c>
      <c r="C1114" t="s">
        <v>5</v>
      </c>
      <c r="D1114">
        <v>7</v>
      </c>
      <c r="F1114" s="1"/>
    </row>
    <row r="1115" spans="1:7" x14ac:dyDescent="0.2">
      <c r="A1115">
        <v>2014</v>
      </c>
      <c r="B1115">
        <v>45</v>
      </c>
      <c r="C1115" t="s">
        <v>5</v>
      </c>
      <c r="D1115">
        <v>2</v>
      </c>
    </row>
    <row r="1116" spans="1:7" x14ac:dyDescent="0.2">
      <c r="A1116">
        <v>2014</v>
      </c>
      <c r="B1116">
        <v>50</v>
      </c>
      <c r="C1116" t="s">
        <v>5</v>
      </c>
      <c r="D1116">
        <v>4</v>
      </c>
      <c r="F1116" s="1"/>
      <c r="G1116" s="1"/>
    </row>
    <row r="1117" spans="1:7" x14ac:dyDescent="0.2">
      <c r="A1117">
        <v>2014</v>
      </c>
      <c r="B1117">
        <v>55</v>
      </c>
      <c r="C1117" t="s">
        <v>5</v>
      </c>
      <c r="D1117">
        <v>3</v>
      </c>
      <c r="F1117" s="1"/>
      <c r="G1117" s="1"/>
    </row>
    <row r="1118" spans="1:7" x14ac:dyDescent="0.2">
      <c r="A1118">
        <v>2014</v>
      </c>
      <c r="B1118">
        <v>60</v>
      </c>
      <c r="C1118" t="s">
        <v>5</v>
      </c>
      <c r="D1118">
        <v>2</v>
      </c>
      <c r="F1118" s="1"/>
      <c r="G1118" s="1"/>
    </row>
    <row r="1119" spans="1:7" x14ac:dyDescent="0.2">
      <c r="A1119">
        <v>2014</v>
      </c>
      <c r="B1119">
        <v>65</v>
      </c>
      <c r="C1119" t="s">
        <v>5</v>
      </c>
      <c r="D1119">
        <v>4</v>
      </c>
      <c r="F1119" s="1"/>
      <c r="G1119" s="1"/>
    </row>
    <row r="1120" spans="1:7" x14ac:dyDescent="0.2">
      <c r="A1120">
        <v>2014</v>
      </c>
      <c r="B1120">
        <v>70</v>
      </c>
      <c r="C1120" t="s">
        <v>5</v>
      </c>
      <c r="D1120">
        <v>0</v>
      </c>
      <c r="F1120" s="1"/>
      <c r="G1120" s="1"/>
    </row>
    <row r="1121" spans="1:4" x14ac:dyDescent="0.2">
      <c r="A1121">
        <v>2014</v>
      </c>
      <c r="B1121">
        <v>75</v>
      </c>
      <c r="C1121" t="s">
        <v>5</v>
      </c>
      <c r="D1121">
        <v>3</v>
      </c>
    </row>
    <row r="1122" spans="1:4" x14ac:dyDescent="0.2">
      <c r="A1122">
        <v>2014</v>
      </c>
      <c r="B1122">
        <v>80</v>
      </c>
      <c r="C1122" t="s">
        <v>5</v>
      </c>
      <c r="D1122">
        <v>1</v>
      </c>
    </row>
    <row r="1123" spans="1:4" x14ac:dyDescent="0.2">
      <c r="A1123">
        <v>2014</v>
      </c>
      <c r="B1123">
        <v>85</v>
      </c>
      <c r="C1123" t="s">
        <v>5</v>
      </c>
      <c r="D1123">
        <v>1</v>
      </c>
    </row>
    <row r="1124" spans="1:4" x14ac:dyDescent="0.2">
      <c r="A1124">
        <v>2015</v>
      </c>
      <c r="B1124">
        <v>0</v>
      </c>
      <c r="C1124" t="s">
        <v>5</v>
      </c>
      <c r="D1124">
        <v>1</v>
      </c>
    </row>
    <row r="1125" spans="1:4" x14ac:dyDescent="0.2">
      <c r="A1125">
        <v>2015</v>
      </c>
      <c r="B1125">
        <v>1</v>
      </c>
      <c r="C1125" t="s">
        <v>5</v>
      </c>
      <c r="D1125">
        <v>2</v>
      </c>
    </row>
    <row r="1126" spans="1:4" x14ac:dyDescent="0.2">
      <c r="A1126">
        <v>2015</v>
      </c>
      <c r="B1126">
        <v>5</v>
      </c>
      <c r="C1126" t="s">
        <v>5</v>
      </c>
      <c r="D1126">
        <v>1</v>
      </c>
    </row>
    <row r="1127" spans="1:4" x14ac:dyDescent="0.2">
      <c r="A1127">
        <v>2015</v>
      </c>
      <c r="B1127">
        <v>10</v>
      </c>
      <c r="C1127" t="s">
        <v>5</v>
      </c>
      <c r="D1127">
        <v>2</v>
      </c>
    </row>
    <row r="1128" spans="1:4" x14ac:dyDescent="0.2">
      <c r="A1128">
        <v>2015</v>
      </c>
      <c r="B1128">
        <v>15</v>
      </c>
      <c r="C1128" t="s">
        <v>5</v>
      </c>
      <c r="D1128">
        <v>8</v>
      </c>
    </row>
    <row r="1129" spans="1:4" x14ac:dyDescent="0.2">
      <c r="A1129">
        <v>2015</v>
      </c>
      <c r="B1129">
        <v>20</v>
      </c>
      <c r="C1129" t="s">
        <v>5</v>
      </c>
      <c r="D1129">
        <v>17</v>
      </c>
    </row>
    <row r="1130" spans="1:4" x14ac:dyDescent="0.2">
      <c r="A1130">
        <v>2015</v>
      </c>
      <c r="B1130">
        <v>25</v>
      </c>
      <c r="C1130" t="s">
        <v>5</v>
      </c>
      <c r="D1130">
        <v>18</v>
      </c>
    </row>
    <row r="1131" spans="1:4" x14ac:dyDescent="0.2">
      <c r="A1131">
        <v>2015</v>
      </c>
      <c r="B1131">
        <v>30</v>
      </c>
      <c r="C1131" t="s">
        <v>5</v>
      </c>
      <c r="D1131">
        <v>15</v>
      </c>
    </row>
    <row r="1132" spans="1:4" x14ac:dyDescent="0.2">
      <c r="A1132">
        <v>2015</v>
      </c>
      <c r="B1132">
        <v>35</v>
      </c>
      <c r="C1132" t="s">
        <v>5</v>
      </c>
      <c r="D1132">
        <v>7</v>
      </c>
    </row>
    <row r="1133" spans="1:4" x14ac:dyDescent="0.2">
      <c r="A1133">
        <v>2015</v>
      </c>
      <c r="B1133">
        <v>40</v>
      </c>
      <c r="C1133" t="s">
        <v>5</v>
      </c>
      <c r="D1133">
        <v>11</v>
      </c>
    </row>
    <row r="1134" spans="1:4" x14ac:dyDescent="0.2">
      <c r="A1134">
        <v>2015</v>
      </c>
      <c r="B1134">
        <v>45</v>
      </c>
      <c r="C1134" t="s">
        <v>5</v>
      </c>
      <c r="D1134">
        <v>2</v>
      </c>
    </row>
    <row r="1135" spans="1:4" x14ac:dyDescent="0.2">
      <c r="A1135">
        <v>2015</v>
      </c>
      <c r="B1135">
        <v>50</v>
      </c>
      <c r="C1135" t="s">
        <v>5</v>
      </c>
      <c r="D1135">
        <v>1</v>
      </c>
    </row>
    <row r="1136" spans="1:4" x14ac:dyDescent="0.2">
      <c r="A1136">
        <v>2015</v>
      </c>
      <c r="B1136">
        <v>55</v>
      </c>
      <c r="C1136" t="s">
        <v>5</v>
      </c>
      <c r="D1136">
        <v>4</v>
      </c>
    </row>
    <row r="1137" spans="1:4" x14ac:dyDescent="0.2">
      <c r="A1137">
        <v>2015</v>
      </c>
      <c r="B1137">
        <v>60</v>
      </c>
      <c r="C1137" t="s">
        <v>5</v>
      </c>
      <c r="D1137">
        <v>2</v>
      </c>
    </row>
    <row r="1138" spans="1:4" x14ac:dyDescent="0.2">
      <c r="A1138">
        <v>2015</v>
      </c>
      <c r="B1138">
        <v>65</v>
      </c>
      <c r="C1138" t="s">
        <v>5</v>
      </c>
      <c r="D1138">
        <v>2</v>
      </c>
    </row>
    <row r="1139" spans="1:4" x14ac:dyDescent="0.2">
      <c r="A1139">
        <v>2015</v>
      </c>
      <c r="B1139">
        <v>70</v>
      </c>
      <c r="C1139" t="s">
        <v>5</v>
      </c>
      <c r="D1139">
        <v>3</v>
      </c>
    </row>
    <row r="1140" spans="1:4" x14ac:dyDescent="0.2">
      <c r="A1140">
        <v>2015</v>
      </c>
      <c r="B1140">
        <v>75</v>
      </c>
      <c r="C1140" t="s">
        <v>5</v>
      </c>
      <c r="D1140">
        <v>2</v>
      </c>
    </row>
    <row r="1141" spans="1:4" x14ac:dyDescent="0.2">
      <c r="A1141">
        <v>2015</v>
      </c>
      <c r="B1141">
        <v>80</v>
      </c>
      <c r="C1141" t="s">
        <v>5</v>
      </c>
      <c r="D1141">
        <v>0</v>
      </c>
    </row>
    <row r="1142" spans="1:4" x14ac:dyDescent="0.2">
      <c r="A1142">
        <v>2015</v>
      </c>
      <c r="B1142">
        <v>85</v>
      </c>
      <c r="C1142" t="s">
        <v>5</v>
      </c>
      <c r="D1142">
        <v>1</v>
      </c>
    </row>
    <row r="1143" spans="1:4" x14ac:dyDescent="0.2">
      <c r="A1143">
        <v>2016</v>
      </c>
      <c r="B1143">
        <v>0</v>
      </c>
      <c r="C1143" t="s">
        <v>5</v>
      </c>
      <c r="D1143">
        <v>0</v>
      </c>
    </row>
    <row r="1144" spans="1:4" x14ac:dyDescent="0.2">
      <c r="A1144">
        <v>2016</v>
      </c>
      <c r="B1144">
        <v>1</v>
      </c>
      <c r="C1144" t="s">
        <v>5</v>
      </c>
      <c r="D1144">
        <v>1</v>
      </c>
    </row>
    <row r="1145" spans="1:4" x14ac:dyDescent="0.2">
      <c r="A1145">
        <v>2016</v>
      </c>
      <c r="B1145">
        <v>5</v>
      </c>
      <c r="C1145" t="s">
        <v>5</v>
      </c>
      <c r="D1145">
        <v>0</v>
      </c>
    </row>
    <row r="1146" spans="1:4" x14ac:dyDescent="0.2">
      <c r="A1146">
        <v>2016</v>
      </c>
      <c r="B1146">
        <v>10</v>
      </c>
      <c r="C1146" t="s">
        <v>5</v>
      </c>
      <c r="D1146">
        <v>0</v>
      </c>
    </row>
    <row r="1147" spans="1:4" x14ac:dyDescent="0.2">
      <c r="A1147">
        <v>2016</v>
      </c>
      <c r="B1147">
        <v>15</v>
      </c>
      <c r="C1147" t="s">
        <v>5</v>
      </c>
      <c r="D1147">
        <v>9</v>
      </c>
    </row>
    <row r="1148" spans="1:4" x14ac:dyDescent="0.2">
      <c r="A1148">
        <v>2016</v>
      </c>
      <c r="B1148">
        <v>20</v>
      </c>
      <c r="C1148" t="s">
        <v>5</v>
      </c>
      <c r="D1148">
        <v>17</v>
      </c>
    </row>
    <row r="1149" spans="1:4" x14ac:dyDescent="0.2">
      <c r="A1149">
        <v>2016</v>
      </c>
      <c r="B1149">
        <v>25</v>
      </c>
      <c r="C1149" t="s">
        <v>5</v>
      </c>
      <c r="D1149">
        <v>17</v>
      </c>
    </row>
    <row r="1150" spans="1:4" x14ac:dyDescent="0.2">
      <c r="A1150">
        <v>2016</v>
      </c>
      <c r="B1150">
        <v>30</v>
      </c>
      <c r="C1150" t="s">
        <v>5</v>
      </c>
      <c r="D1150">
        <v>18</v>
      </c>
    </row>
    <row r="1151" spans="1:4" x14ac:dyDescent="0.2">
      <c r="A1151">
        <v>2016</v>
      </c>
      <c r="B1151">
        <v>35</v>
      </c>
      <c r="C1151" t="s">
        <v>5</v>
      </c>
      <c r="D1151">
        <v>15</v>
      </c>
    </row>
    <row r="1152" spans="1:4" x14ac:dyDescent="0.2">
      <c r="A1152">
        <v>2016</v>
      </c>
      <c r="B1152">
        <v>40</v>
      </c>
      <c r="C1152" t="s">
        <v>5</v>
      </c>
      <c r="D1152">
        <v>14.130841121495299</v>
      </c>
    </row>
    <row r="1153" spans="1:4" x14ac:dyDescent="0.2">
      <c r="A1153">
        <v>2016</v>
      </c>
      <c r="B1153">
        <v>45</v>
      </c>
      <c r="C1153" t="s">
        <v>5</v>
      </c>
      <c r="D1153">
        <v>8</v>
      </c>
    </row>
    <row r="1154" spans="1:4" x14ac:dyDescent="0.2">
      <c r="A1154">
        <v>2016</v>
      </c>
      <c r="B1154">
        <v>50</v>
      </c>
      <c r="C1154" t="s">
        <v>5</v>
      </c>
      <c r="D1154">
        <v>4</v>
      </c>
    </row>
    <row r="1155" spans="1:4" x14ac:dyDescent="0.2">
      <c r="A1155">
        <v>2016</v>
      </c>
      <c r="B1155">
        <v>55</v>
      </c>
      <c r="C1155" t="s">
        <v>5</v>
      </c>
      <c r="D1155">
        <v>2</v>
      </c>
    </row>
    <row r="1156" spans="1:4" x14ac:dyDescent="0.2">
      <c r="A1156">
        <v>2016</v>
      </c>
      <c r="B1156">
        <v>60</v>
      </c>
      <c r="C1156" t="s">
        <v>5</v>
      </c>
      <c r="D1156">
        <v>4</v>
      </c>
    </row>
    <row r="1157" spans="1:4" x14ac:dyDescent="0.2">
      <c r="A1157">
        <v>2016</v>
      </c>
      <c r="B1157">
        <v>65</v>
      </c>
      <c r="C1157" t="s">
        <v>5</v>
      </c>
      <c r="D1157">
        <v>2</v>
      </c>
    </row>
    <row r="1158" spans="1:4" x14ac:dyDescent="0.2">
      <c r="A1158">
        <v>2016</v>
      </c>
      <c r="B1158">
        <v>70</v>
      </c>
      <c r="C1158" t="s">
        <v>5</v>
      </c>
      <c r="D1158">
        <v>5</v>
      </c>
    </row>
    <row r="1159" spans="1:4" x14ac:dyDescent="0.2">
      <c r="A1159">
        <v>2016</v>
      </c>
      <c r="B1159">
        <v>75</v>
      </c>
      <c r="C1159" t="s">
        <v>5</v>
      </c>
      <c r="D1159">
        <v>2</v>
      </c>
    </row>
    <row r="1160" spans="1:4" x14ac:dyDescent="0.2">
      <c r="A1160">
        <v>2016</v>
      </c>
      <c r="B1160">
        <v>80</v>
      </c>
      <c r="C1160" t="s">
        <v>5</v>
      </c>
      <c r="D1160">
        <v>0</v>
      </c>
    </row>
    <row r="1161" spans="1:4" x14ac:dyDescent="0.2">
      <c r="A1161">
        <v>2016</v>
      </c>
      <c r="B1161">
        <v>85</v>
      </c>
      <c r="C1161" t="s">
        <v>5</v>
      </c>
      <c r="D1161">
        <v>0</v>
      </c>
    </row>
    <row r="1162" spans="1:4" x14ac:dyDescent="0.2">
      <c r="A1162">
        <v>2017</v>
      </c>
      <c r="B1162">
        <v>1</v>
      </c>
      <c r="C1162" t="s">
        <v>5</v>
      </c>
      <c r="D1162">
        <v>3</v>
      </c>
    </row>
    <row r="1163" spans="1:4" x14ac:dyDescent="0.2">
      <c r="A1163">
        <v>2017</v>
      </c>
      <c r="B1163">
        <v>5</v>
      </c>
      <c r="C1163" t="s">
        <v>5</v>
      </c>
      <c r="D1163">
        <v>1</v>
      </c>
    </row>
    <row r="1164" spans="1:4" x14ac:dyDescent="0.2">
      <c r="A1164">
        <v>2017</v>
      </c>
      <c r="B1164">
        <v>10</v>
      </c>
      <c r="C1164" t="s">
        <v>5</v>
      </c>
      <c r="D1164">
        <v>4</v>
      </c>
    </row>
    <row r="1165" spans="1:4" x14ac:dyDescent="0.2">
      <c r="A1165">
        <v>2017</v>
      </c>
      <c r="B1165">
        <v>15</v>
      </c>
      <c r="C1165" t="s">
        <v>5</v>
      </c>
      <c r="D1165">
        <v>20</v>
      </c>
    </row>
    <row r="1166" spans="1:4" x14ac:dyDescent="0.2">
      <c r="A1166">
        <v>2017</v>
      </c>
      <c r="B1166">
        <v>20</v>
      </c>
      <c r="C1166" t="s">
        <v>5</v>
      </c>
      <c r="D1166">
        <v>30</v>
      </c>
    </row>
    <row r="1167" spans="1:4" x14ac:dyDescent="0.2">
      <c r="A1167">
        <v>2017</v>
      </c>
      <c r="B1167">
        <v>25</v>
      </c>
      <c r="C1167" t="s">
        <v>5</v>
      </c>
      <c r="D1167">
        <v>37</v>
      </c>
    </row>
    <row r="1168" spans="1:4" x14ac:dyDescent="0.2">
      <c r="A1168">
        <v>2017</v>
      </c>
      <c r="B1168">
        <v>30</v>
      </c>
      <c r="C1168" t="s">
        <v>5</v>
      </c>
      <c r="D1168">
        <v>25</v>
      </c>
    </row>
    <row r="1169" spans="1:4" x14ac:dyDescent="0.2">
      <c r="A1169">
        <v>2017</v>
      </c>
      <c r="B1169">
        <v>35</v>
      </c>
      <c r="C1169" t="s">
        <v>5</v>
      </c>
      <c r="D1169">
        <v>21</v>
      </c>
    </row>
    <row r="1170" spans="1:4" x14ac:dyDescent="0.2">
      <c r="A1170">
        <v>2017</v>
      </c>
      <c r="B1170">
        <v>40</v>
      </c>
      <c r="C1170" t="s">
        <v>5</v>
      </c>
      <c r="D1170">
        <v>18</v>
      </c>
    </row>
    <row r="1171" spans="1:4" x14ac:dyDescent="0.2">
      <c r="A1171">
        <v>2017</v>
      </c>
      <c r="B1171">
        <v>45</v>
      </c>
      <c r="C1171" t="s">
        <v>5</v>
      </c>
      <c r="D1171">
        <v>18</v>
      </c>
    </row>
    <row r="1172" spans="1:4" x14ac:dyDescent="0.2">
      <c r="A1172">
        <v>2017</v>
      </c>
      <c r="B1172">
        <v>50</v>
      </c>
      <c r="C1172" t="s">
        <v>5</v>
      </c>
      <c r="D1172">
        <v>9</v>
      </c>
    </row>
    <row r="1173" spans="1:4" x14ac:dyDescent="0.2">
      <c r="A1173">
        <v>2017</v>
      </c>
      <c r="B1173">
        <v>55</v>
      </c>
      <c r="C1173" t="s">
        <v>5</v>
      </c>
      <c r="D1173">
        <v>8</v>
      </c>
    </row>
    <row r="1174" spans="1:4" x14ac:dyDescent="0.2">
      <c r="A1174">
        <v>2017</v>
      </c>
      <c r="B1174">
        <v>60</v>
      </c>
      <c r="C1174" t="s">
        <v>5</v>
      </c>
      <c r="D1174">
        <v>4</v>
      </c>
    </row>
    <row r="1175" spans="1:4" x14ac:dyDescent="0.2">
      <c r="A1175">
        <v>2017</v>
      </c>
      <c r="B1175">
        <v>65</v>
      </c>
      <c r="C1175" t="s">
        <v>5</v>
      </c>
      <c r="D1175">
        <v>4</v>
      </c>
    </row>
    <row r="1176" spans="1:4" x14ac:dyDescent="0.2">
      <c r="A1176">
        <v>2017</v>
      </c>
      <c r="B1176">
        <v>70</v>
      </c>
      <c r="C1176" t="s">
        <v>5</v>
      </c>
      <c r="D1176">
        <v>2</v>
      </c>
    </row>
    <row r="1177" spans="1:4" x14ac:dyDescent="0.2">
      <c r="A1177">
        <v>2017</v>
      </c>
      <c r="B1177">
        <v>75</v>
      </c>
      <c r="C1177" t="s">
        <v>5</v>
      </c>
      <c r="D1177">
        <v>1</v>
      </c>
    </row>
    <row r="1178" spans="1:4" x14ac:dyDescent="0.2">
      <c r="A1178">
        <v>2017</v>
      </c>
      <c r="B1178">
        <v>80</v>
      </c>
      <c r="C1178" t="s">
        <v>5</v>
      </c>
      <c r="D1178">
        <v>3</v>
      </c>
    </row>
    <row r="1179" spans="1:4" x14ac:dyDescent="0.2">
      <c r="A1179">
        <v>2018</v>
      </c>
      <c r="B1179">
        <v>0</v>
      </c>
      <c r="C1179" t="s">
        <v>5</v>
      </c>
      <c r="D1179">
        <v>2</v>
      </c>
    </row>
    <row r="1180" spans="1:4" x14ac:dyDescent="0.2">
      <c r="A1180">
        <v>2018</v>
      </c>
      <c r="B1180">
        <v>1</v>
      </c>
      <c r="C1180" t="s">
        <v>5</v>
      </c>
      <c r="D1180">
        <v>4</v>
      </c>
    </row>
    <row r="1181" spans="1:4" x14ac:dyDescent="0.2">
      <c r="A1181">
        <v>2018</v>
      </c>
      <c r="B1181">
        <v>5</v>
      </c>
      <c r="C1181" t="s">
        <v>5</v>
      </c>
      <c r="D1181">
        <v>2</v>
      </c>
    </row>
    <row r="1182" spans="1:4" x14ac:dyDescent="0.2">
      <c r="A1182">
        <v>2018</v>
      </c>
      <c r="B1182">
        <v>10</v>
      </c>
      <c r="C1182" t="s">
        <v>5</v>
      </c>
      <c r="D1182">
        <v>7</v>
      </c>
    </row>
    <row r="1183" spans="1:4" x14ac:dyDescent="0.2">
      <c r="A1183">
        <v>2018</v>
      </c>
      <c r="B1183">
        <v>15</v>
      </c>
      <c r="C1183" t="s">
        <v>5</v>
      </c>
      <c r="D1183">
        <v>29</v>
      </c>
    </row>
    <row r="1184" spans="1:4" x14ac:dyDescent="0.2">
      <c r="A1184">
        <v>2018</v>
      </c>
      <c r="B1184">
        <v>20</v>
      </c>
      <c r="C1184" t="s">
        <v>5</v>
      </c>
      <c r="D1184">
        <v>74</v>
      </c>
    </row>
    <row r="1185" spans="1:4" x14ac:dyDescent="0.2">
      <c r="A1185">
        <v>2018</v>
      </c>
      <c r="B1185">
        <v>25</v>
      </c>
      <c r="C1185" t="s">
        <v>5</v>
      </c>
      <c r="D1185">
        <v>51</v>
      </c>
    </row>
    <row r="1186" spans="1:4" x14ac:dyDescent="0.2">
      <c r="A1186">
        <v>2018</v>
      </c>
      <c r="B1186">
        <v>30</v>
      </c>
      <c r="C1186" t="s">
        <v>5</v>
      </c>
      <c r="D1186">
        <v>46</v>
      </c>
    </row>
    <row r="1187" spans="1:4" x14ac:dyDescent="0.2">
      <c r="A1187">
        <v>2018</v>
      </c>
      <c r="B1187">
        <v>35</v>
      </c>
      <c r="C1187" t="s">
        <v>5</v>
      </c>
      <c r="D1187">
        <v>47</v>
      </c>
    </row>
    <row r="1188" spans="1:4" x14ac:dyDescent="0.2">
      <c r="A1188">
        <v>2018</v>
      </c>
      <c r="B1188">
        <v>40</v>
      </c>
      <c r="C1188" t="s">
        <v>5</v>
      </c>
      <c r="D1188">
        <v>26</v>
      </c>
    </row>
    <row r="1189" spans="1:4" x14ac:dyDescent="0.2">
      <c r="A1189">
        <v>2018</v>
      </c>
      <c r="B1189">
        <v>45</v>
      </c>
      <c r="C1189" t="s">
        <v>5</v>
      </c>
      <c r="D1189">
        <v>19</v>
      </c>
    </row>
    <row r="1190" spans="1:4" x14ac:dyDescent="0.2">
      <c r="A1190">
        <v>2018</v>
      </c>
      <c r="B1190">
        <v>50</v>
      </c>
      <c r="C1190" t="s">
        <v>5</v>
      </c>
      <c r="D1190">
        <v>13</v>
      </c>
    </row>
    <row r="1191" spans="1:4" x14ac:dyDescent="0.2">
      <c r="A1191">
        <v>2018</v>
      </c>
      <c r="B1191">
        <v>55</v>
      </c>
      <c r="C1191" t="s">
        <v>5</v>
      </c>
      <c r="D1191">
        <v>5</v>
      </c>
    </row>
    <row r="1192" spans="1:4" x14ac:dyDescent="0.2">
      <c r="A1192">
        <v>2018</v>
      </c>
      <c r="B1192">
        <v>60</v>
      </c>
      <c r="C1192" t="s">
        <v>5</v>
      </c>
      <c r="D1192">
        <v>5</v>
      </c>
    </row>
    <row r="1193" spans="1:4" x14ac:dyDescent="0.2">
      <c r="A1193">
        <v>2018</v>
      </c>
      <c r="B1193">
        <v>65</v>
      </c>
      <c r="C1193" t="s">
        <v>5</v>
      </c>
      <c r="D1193">
        <v>6</v>
      </c>
    </row>
    <row r="1194" spans="1:4" x14ac:dyDescent="0.2">
      <c r="A1194">
        <v>2018</v>
      </c>
      <c r="B1194">
        <v>70</v>
      </c>
      <c r="C1194" t="s">
        <v>5</v>
      </c>
      <c r="D1194">
        <v>0</v>
      </c>
    </row>
    <row r="1195" spans="1:4" x14ac:dyDescent="0.2">
      <c r="A1195">
        <v>2018</v>
      </c>
      <c r="B1195">
        <v>75</v>
      </c>
      <c r="C1195" t="s">
        <v>5</v>
      </c>
      <c r="D1195">
        <v>0</v>
      </c>
    </row>
    <row r="1196" spans="1:4" x14ac:dyDescent="0.2">
      <c r="A1196">
        <v>2018</v>
      </c>
      <c r="B1196">
        <v>80</v>
      </c>
      <c r="C1196" t="s">
        <v>5</v>
      </c>
      <c r="D1196">
        <v>1</v>
      </c>
    </row>
    <row r="1197" spans="1:4" x14ac:dyDescent="0.2">
      <c r="A1197">
        <v>2018</v>
      </c>
      <c r="B1197">
        <v>85</v>
      </c>
      <c r="C1197" t="s">
        <v>5</v>
      </c>
      <c r="D1197">
        <v>1</v>
      </c>
    </row>
    <row r="1198" spans="1:4" x14ac:dyDescent="0.2">
      <c r="A1198" s="56">
        <v>2019</v>
      </c>
      <c r="B1198" s="56">
        <v>0</v>
      </c>
      <c r="C1198" s="56" t="s">
        <v>5</v>
      </c>
      <c r="D1198" s="56">
        <v>1</v>
      </c>
    </row>
    <row r="1199" spans="1:4" x14ac:dyDescent="0.2">
      <c r="A1199" s="56">
        <v>2019</v>
      </c>
      <c r="B1199" s="56">
        <v>1</v>
      </c>
      <c r="C1199" s="56" t="s">
        <v>5</v>
      </c>
      <c r="D1199" s="56">
        <v>2</v>
      </c>
    </row>
    <row r="1200" spans="1:4" x14ac:dyDescent="0.2">
      <c r="A1200" s="56">
        <v>2019</v>
      </c>
      <c r="B1200" s="56">
        <v>5</v>
      </c>
      <c r="C1200" s="56" t="s">
        <v>5</v>
      </c>
      <c r="D1200" s="56">
        <v>2</v>
      </c>
    </row>
    <row r="1201" spans="1:4" x14ac:dyDescent="0.2">
      <c r="A1201" s="56">
        <v>2019</v>
      </c>
      <c r="B1201" s="56">
        <v>10</v>
      </c>
      <c r="C1201" s="56" t="s">
        <v>5</v>
      </c>
      <c r="D1201" s="56">
        <v>5</v>
      </c>
    </row>
    <row r="1202" spans="1:4" x14ac:dyDescent="0.2">
      <c r="A1202" s="56">
        <v>2019</v>
      </c>
      <c r="B1202" s="56">
        <v>15</v>
      </c>
      <c r="C1202" s="56" t="s">
        <v>5</v>
      </c>
      <c r="D1202" s="56">
        <v>38</v>
      </c>
    </row>
    <row r="1203" spans="1:4" x14ac:dyDescent="0.2">
      <c r="A1203" s="56">
        <v>2019</v>
      </c>
      <c r="B1203" s="56">
        <v>20</v>
      </c>
      <c r="C1203" s="56" t="s">
        <v>5</v>
      </c>
      <c r="D1203" s="56">
        <v>65</v>
      </c>
    </row>
    <row r="1204" spans="1:4" x14ac:dyDescent="0.2">
      <c r="A1204" s="56">
        <v>2019</v>
      </c>
      <c r="B1204" s="56">
        <v>25</v>
      </c>
      <c r="C1204" s="56" t="s">
        <v>5</v>
      </c>
      <c r="D1204" s="56">
        <v>79</v>
      </c>
    </row>
    <row r="1205" spans="1:4" x14ac:dyDescent="0.2">
      <c r="A1205" s="56">
        <v>2019</v>
      </c>
      <c r="B1205" s="56">
        <v>30</v>
      </c>
      <c r="C1205" s="56" t="s">
        <v>5</v>
      </c>
      <c r="D1205" s="56">
        <v>56</v>
      </c>
    </row>
    <row r="1206" spans="1:4" x14ac:dyDescent="0.2">
      <c r="A1206" s="56">
        <v>2019</v>
      </c>
      <c r="B1206" s="56">
        <v>35</v>
      </c>
      <c r="C1206" s="56" t="s">
        <v>5</v>
      </c>
      <c r="D1206" s="56">
        <v>39</v>
      </c>
    </row>
    <row r="1207" spans="1:4" x14ac:dyDescent="0.2">
      <c r="A1207" s="56">
        <v>2019</v>
      </c>
      <c r="B1207" s="56">
        <v>40</v>
      </c>
      <c r="C1207" s="56" t="s">
        <v>5</v>
      </c>
      <c r="D1207" s="56">
        <v>25</v>
      </c>
    </row>
    <row r="1208" spans="1:4" x14ac:dyDescent="0.2">
      <c r="A1208" s="56">
        <v>2019</v>
      </c>
      <c r="B1208" s="56">
        <v>45</v>
      </c>
      <c r="C1208" s="56" t="s">
        <v>5</v>
      </c>
      <c r="D1208" s="56">
        <v>18</v>
      </c>
    </row>
    <row r="1209" spans="1:4" x14ac:dyDescent="0.2">
      <c r="A1209" s="56">
        <v>2019</v>
      </c>
      <c r="B1209" s="56">
        <v>50</v>
      </c>
      <c r="C1209" s="56" t="s">
        <v>5</v>
      </c>
      <c r="D1209" s="56">
        <v>15</v>
      </c>
    </row>
    <row r="1210" spans="1:4" x14ac:dyDescent="0.2">
      <c r="A1210" s="56">
        <v>2019</v>
      </c>
      <c r="B1210" s="56">
        <v>55</v>
      </c>
      <c r="C1210" s="56" t="s">
        <v>5</v>
      </c>
      <c r="D1210" s="56">
        <v>11</v>
      </c>
    </row>
    <row r="1211" spans="1:4" x14ac:dyDescent="0.2">
      <c r="A1211" s="56">
        <v>2019</v>
      </c>
      <c r="B1211" s="56">
        <v>60</v>
      </c>
      <c r="C1211" s="56" t="s">
        <v>5</v>
      </c>
      <c r="D1211" s="56">
        <v>6</v>
      </c>
    </row>
    <row r="1212" spans="1:4" x14ac:dyDescent="0.2">
      <c r="A1212" s="56">
        <v>2019</v>
      </c>
      <c r="B1212" s="56">
        <v>65</v>
      </c>
      <c r="C1212" s="56" t="s">
        <v>5</v>
      </c>
      <c r="D1212" s="56">
        <v>7</v>
      </c>
    </row>
    <row r="1213" spans="1:4" x14ac:dyDescent="0.2">
      <c r="A1213" s="56">
        <v>2019</v>
      </c>
      <c r="B1213" s="56">
        <v>70</v>
      </c>
      <c r="C1213" s="56" t="s">
        <v>5</v>
      </c>
      <c r="D1213" s="56">
        <v>1</v>
      </c>
    </row>
    <row r="1214" spans="1:4" x14ac:dyDescent="0.2">
      <c r="A1214" s="56">
        <v>2019</v>
      </c>
      <c r="B1214" s="56">
        <v>75</v>
      </c>
      <c r="C1214" s="56" t="s">
        <v>5</v>
      </c>
      <c r="D1214" s="56">
        <v>2</v>
      </c>
    </row>
    <row r="1215" spans="1:4" x14ac:dyDescent="0.2">
      <c r="A1215" s="56">
        <v>2019</v>
      </c>
      <c r="B1215" s="56">
        <v>80</v>
      </c>
      <c r="C1215" s="56" t="s">
        <v>5</v>
      </c>
      <c r="D1215" s="56">
        <v>1</v>
      </c>
    </row>
    <row r="1216" spans="1:4" x14ac:dyDescent="0.2">
      <c r="A1216" s="56">
        <v>2019</v>
      </c>
      <c r="B1216" s="56">
        <v>85</v>
      </c>
      <c r="C1216" s="56" t="s">
        <v>5</v>
      </c>
      <c r="D1216" s="56">
        <v>1</v>
      </c>
    </row>
    <row r="1217" spans="1:4" x14ac:dyDescent="0.2">
      <c r="A1217">
        <v>2020</v>
      </c>
      <c r="B1217">
        <v>0</v>
      </c>
      <c r="C1217" t="s">
        <v>5</v>
      </c>
      <c r="D1217">
        <v>1</v>
      </c>
    </row>
    <row r="1218" spans="1:4" x14ac:dyDescent="0.2">
      <c r="A1218">
        <v>2020</v>
      </c>
      <c r="B1218">
        <v>1</v>
      </c>
      <c r="C1218" t="s">
        <v>5</v>
      </c>
      <c r="D1218">
        <v>6</v>
      </c>
    </row>
    <row r="1219" spans="1:4" x14ac:dyDescent="0.2">
      <c r="A1219">
        <v>2020</v>
      </c>
      <c r="B1219">
        <v>5</v>
      </c>
      <c r="C1219" t="s">
        <v>5</v>
      </c>
      <c r="D1219">
        <v>6</v>
      </c>
    </row>
    <row r="1220" spans="1:4" x14ac:dyDescent="0.2">
      <c r="A1220">
        <v>2020</v>
      </c>
      <c r="B1220">
        <v>10</v>
      </c>
      <c r="C1220" t="s">
        <v>5</v>
      </c>
      <c r="D1220">
        <v>9</v>
      </c>
    </row>
    <row r="1221" spans="1:4" x14ac:dyDescent="0.2">
      <c r="A1221">
        <v>2020</v>
      </c>
      <c r="B1221">
        <v>15</v>
      </c>
      <c r="C1221" t="s">
        <v>5</v>
      </c>
      <c r="D1221">
        <v>60</v>
      </c>
    </row>
    <row r="1222" spans="1:4" x14ac:dyDescent="0.2">
      <c r="A1222">
        <v>2020</v>
      </c>
      <c r="B1222">
        <v>20</v>
      </c>
      <c r="C1222" t="s">
        <v>5</v>
      </c>
      <c r="D1222">
        <v>94</v>
      </c>
    </row>
    <row r="1223" spans="1:4" x14ac:dyDescent="0.2">
      <c r="A1223">
        <v>2020</v>
      </c>
      <c r="B1223">
        <v>25</v>
      </c>
      <c r="C1223" t="s">
        <v>5</v>
      </c>
      <c r="D1223">
        <v>103</v>
      </c>
    </row>
    <row r="1224" spans="1:4" x14ac:dyDescent="0.2">
      <c r="A1224">
        <v>2020</v>
      </c>
      <c r="B1224">
        <v>30</v>
      </c>
      <c r="C1224" t="s">
        <v>5</v>
      </c>
      <c r="D1224">
        <v>78</v>
      </c>
    </row>
    <row r="1225" spans="1:4" x14ac:dyDescent="0.2">
      <c r="A1225">
        <v>2020</v>
      </c>
      <c r="B1225">
        <v>35</v>
      </c>
      <c r="C1225" t="s">
        <v>5</v>
      </c>
      <c r="D1225">
        <v>73</v>
      </c>
    </row>
    <row r="1226" spans="1:4" x14ac:dyDescent="0.2">
      <c r="A1226">
        <v>2020</v>
      </c>
      <c r="B1226">
        <v>40</v>
      </c>
      <c r="C1226" t="s">
        <v>5</v>
      </c>
      <c r="D1226">
        <v>41</v>
      </c>
    </row>
    <row r="1227" spans="1:4" x14ac:dyDescent="0.2">
      <c r="A1227">
        <v>2020</v>
      </c>
      <c r="B1227">
        <v>45</v>
      </c>
      <c r="C1227" t="s">
        <v>5</v>
      </c>
      <c r="D1227">
        <v>37</v>
      </c>
    </row>
    <row r="1228" spans="1:4" x14ac:dyDescent="0.2">
      <c r="A1228">
        <v>2020</v>
      </c>
      <c r="B1228">
        <v>50</v>
      </c>
      <c r="C1228" t="s">
        <v>5</v>
      </c>
      <c r="D1228">
        <v>22</v>
      </c>
    </row>
    <row r="1229" spans="1:4" x14ac:dyDescent="0.2">
      <c r="A1229">
        <v>2020</v>
      </c>
      <c r="B1229">
        <v>55</v>
      </c>
      <c r="C1229" t="s">
        <v>5</v>
      </c>
      <c r="D1229">
        <v>14</v>
      </c>
    </row>
    <row r="1230" spans="1:4" x14ac:dyDescent="0.2">
      <c r="A1230">
        <v>2020</v>
      </c>
      <c r="B1230">
        <v>60</v>
      </c>
      <c r="C1230" t="s">
        <v>5</v>
      </c>
      <c r="D1230">
        <v>10</v>
      </c>
    </row>
    <row r="1231" spans="1:4" x14ac:dyDescent="0.2">
      <c r="A1231">
        <v>2020</v>
      </c>
      <c r="B1231">
        <v>65</v>
      </c>
      <c r="C1231" t="s">
        <v>5</v>
      </c>
      <c r="D1231">
        <v>2</v>
      </c>
    </row>
    <row r="1232" spans="1:4" x14ac:dyDescent="0.2">
      <c r="A1232">
        <v>2020</v>
      </c>
      <c r="B1232">
        <v>70</v>
      </c>
      <c r="C1232" t="s">
        <v>5</v>
      </c>
      <c r="D1232">
        <v>6</v>
      </c>
    </row>
    <row r="1233" spans="1:4" x14ac:dyDescent="0.2">
      <c r="A1233">
        <v>2020</v>
      </c>
      <c r="B1233">
        <v>75</v>
      </c>
      <c r="C1233" t="s">
        <v>5</v>
      </c>
      <c r="D1233">
        <v>3</v>
      </c>
    </row>
    <row r="1234" spans="1:4" x14ac:dyDescent="0.2">
      <c r="A1234">
        <v>2020</v>
      </c>
      <c r="B1234">
        <v>80</v>
      </c>
      <c r="C1234" t="s">
        <v>5</v>
      </c>
      <c r="D1234">
        <v>2</v>
      </c>
    </row>
    <row r="1235" spans="1:4" x14ac:dyDescent="0.2">
      <c r="A1235">
        <v>2020</v>
      </c>
      <c r="B1235">
        <v>85</v>
      </c>
      <c r="C1235" t="s">
        <v>5</v>
      </c>
      <c r="D1235">
        <v>2</v>
      </c>
    </row>
    <row r="1236" spans="1:4" x14ac:dyDescent="0.2">
      <c r="A1236">
        <v>2021</v>
      </c>
      <c r="B1236">
        <v>0</v>
      </c>
      <c r="C1236" t="s">
        <v>5</v>
      </c>
      <c r="D1236">
        <v>0</v>
      </c>
    </row>
    <row r="1237" spans="1:4" x14ac:dyDescent="0.2">
      <c r="A1237">
        <v>2021</v>
      </c>
      <c r="B1237">
        <v>1</v>
      </c>
      <c r="C1237" t="s">
        <v>5</v>
      </c>
      <c r="D1237">
        <v>1</v>
      </c>
    </row>
    <row r="1238" spans="1:4" x14ac:dyDescent="0.2">
      <c r="A1238">
        <v>2021</v>
      </c>
      <c r="B1238">
        <v>5</v>
      </c>
      <c r="C1238" t="s">
        <v>5</v>
      </c>
      <c r="D1238">
        <v>5</v>
      </c>
    </row>
    <row r="1239" spans="1:4" x14ac:dyDescent="0.2">
      <c r="A1239">
        <v>2021</v>
      </c>
      <c r="B1239">
        <v>10</v>
      </c>
      <c r="C1239" t="s">
        <v>5</v>
      </c>
      <c r="D1239">
        <v>13</v>
      </c>
    </row>
    <row r="1240" spans="1:4" x14ac:dyDescent="0.2">
      <c r="A1240">
        <v>2021</v>
      </c>
      <c r="B1240">
        <v>15</v>
      </c>
      <c r="C1240" t="s">
        <v>5</v>
      </c>
      <c r="D1240">
        <v>57</v>
      </c>
    </row>
    <row r="1241" spans="1:4" x14ac:dyDescent="0.2">
      <c r="A1241">
        <v>2021</v>
      </c>
      <c r="B1241">
        <v>20</v>
      </c>
      <c r="C1241" t="s">
        <v>5</v>
      </c>
      <c r="D1241">
        <v>109</v>
      </c>
    </row>
    <row r="1242" spans="1:4" x14ac:dyDescent="0.2">
      <c r="A1242">
        <v>2021</v>
      </c>
      <c r="B1242">
        <v>25</v>
      </c>
      <c r="C1242" t="s">
        <v>5</v>
      </c>
      <c r="D1242">
        <v>83</v>
      </c>
    </row>
    <row r="1243" spans="1:4" x14ac:dyDescent="0.2">
      <c r="A1243">
        <v>2021</v>
      </c>
      <c r="B1243">
        <v>30</v>
      </c>
      <c r="C1243" t="s">
        <v>5</v>
      </c>
      <c r="D1243">
        <v>62</v>
      </c>
    </row>
    <row r="1244" spans="1:4" x14ac:dyDescent="0.2">
      <c r="A1244">
        <v>2021</v>
      </c>
      <c r="B1244">
        <v>35</v>
      </c>
      <c r="C1244" t="s">
        <v>5</v>
      </c>
      <c r="D1244">
        <v>58</v>
      </c>
    </row>
    <row r="1245" spans="1:4" x14ac:dyDescent="0.2">
      <c r="A1245">
        <v>2021</v>
      </c>
      <c r="B1245">
        <v>40</v>
      </c>
      <c r="C1245" t="s">
        <v>5</v>
      </c>
      <c r="D1245">
        <v>51</v>
      </c>
    </row>
    <row r="1246" spans="1:4" x14ac:dyDescent="0.2">
      <c r="A1246">
        <v>2021</v>
      </c>
      <c r="B1246">
        <v>45</v>
      </c>
      <c r="C1246" t="s">
        <v>5</v>
      </c>
      <c r="D1246">
        <v>35</v>
      </c>
    </row>
    <row r="1247" spans="1:4" x14ac:dyDescent="0.2">
      <c r="A1247">
        <v>2021</v>
      </c>
      <c r="B1247">
        <v>50</v>
      </c>
      <c r="C1247" t="s">
        <v>5</v>
      </c>
      <c r="D1247">
        <v>13</v>
      </c>
    </row>
    <row r="1248" spans="1:4" x14ac:dyDescent="0.2">
      <c r="A1248">
        <v>2021</v>
      </c>
      <c r="B1248">
        <v>55</v>
      </c>
      <c r="C1248" t="s">
        <v>5</v>
      </c>
      <c r="D1248">
        <v>10</v>
      </c>
    </row>
    <row r="1249" spans="1:4" x14ac:dyDescent="0.2">
      <c r="A1249">
        <v>2021</v>
      </c>
      <c r="B1249">
        <v>60</v>
      </c>
      <c r="C1249" t="s">
        <v>5</v>
      </c>
      <c r="D1249">
        <v>8</v>
      </c>
    </row>
    <row r="1250" spans="1:4" x14ac:dyDescent="0.2">
      <c r="A1250">
        <v>2021</v>
      </c>
      <c r="B1250">
        <v>65</v>
      </c>
      <c r="C1250" t="s">
        <v>5</v>
      </c>
      <c r="D1250">
        <v>5</v>
      </c>
    </row>
    <row r="1251" spans="1:4" x14ac:dyDescent="0.2">
      <c r="A1251">
        <v>2021</v>
      </c>
      <c r="B1251">
        <v>70</v>
      </c>
      <c r="C1251" t="s">
        <v>5</v>
      </c>
      <c r="D1251">
        <v>2</v>
      </c>
    </row>
    <row r="1252" spans="1:4" x14ac:dyDescent="0.2">
      <c r="A1252">
        <v>2021</v>
      </c>
      <c r="B1252">
        <v>75</v>
      </c>
      <c r="C1252" t="s">
        <v>5</v>
      </c>
      <c r="D1252">
        <v>1</v>
      </c>
    </row>
    <row r="1253" spans="1:4" x14ac:dyDescent="0.2">
      <c r="A1253">
        <v>2021</v>
      </c>
      <c r="B1253">
        <v>80</v>
      </c>
      <c r="C1253" t="s">
        <v>5</v>
      </c>
      <c r="D1253">
        <v>0</v>
      </c>
    </row>
    <row r="1254" spans="1:4" x14ac:dyDescent="0.2">
      <c r="A1254">
        <v>2021</v>
      </c>
      <c r="B1254">
        <v>85</v>
      </c>
      <c r="C1254" t="s">
        <v>5</v>
      </c>
      <c r="D1254">
        <v>0</v>
      </c>
    </row>
    <row r="1255" spans="1:4" x14ac:dyDescent="0.2">
      <c r="A1255">
        <v>2022</v>
      </c>
      <c r="B1255">
        <v>0</v>
      </c>
      <c r="C1255" t="s">
        <v>5</v>
      </c>
      <c r="D1255">
        <v>2</v>
      </c>
    </row>
    <row r="1256" spans="1:4" x14ac:dyDescent="0.2">
      <c r="A1256">
        <v>2022</v>
      </c>
      <c r="B1256">
        <v>1</v>
      </c>
      <c r="C1256" t="s">
        <v>5</v>
      </c>
      <c r="D1256">
        <v>0</v>
      </c>
    </row>
    <row r="1257" spans="1:4" x14ac:dyDescent="0.2">
      <c r="A1257">
        <v>2022</v>
      </c>
      <c r="B1257">
        <v>5</v>
      </c>
      <c r="C1257" t="s">
        <v>5</v>
      </c>
      <c r="D1257">
        <v>1</v>
      </c>
    </row>
    <row r="1258" spans="1:4" x14ac:dyDescent="0.2">
      <c r="A1258">
        <v>2022</v>
      </c>
      <c r="B1258">
        <v>10</v>
      </c>
      <c r="C1258" t="s">
        <v>5</v>
      </c>
      <c r="D1258">
        <v>8</v>
      </c>
    </row>
    <row r="1259" spans="1:4" x14ac:dyDescent="0.2">
      <c r="A1259">
        <v>2022</v>
      </c>
      <c r="B1259">
        <v>15</v>
      </c>
      <c r="C1259" t="s">
        <v>5</v>
      </c>
      <c r="D1259">
        <v>64</v>
      </c>
    </row>
    <row r="1260" spans="1:4" x14ac:dyDescent="0.2">
      <c r="A1260">
        <v>2022</v>
      </c>
      <c r="B1260">
        <v>20</v>
      </c>
      <c r="C1260" t="s">
        <v>5</v>
      </c>
      <c r="D1260">
        <v>88</v>
      </c>
    </row>
    <row r="1261" spans="1:4" x14ac:dyDescent="0.2">
      <c r="A1261">
        <v>2022</v>
      </c>
      <c r="B1261">
        <v>25</v>
      </c>
      <c r="C1261" t="s">
        <v>5</v>
      </c>
      <c r="D1261">
        <v>87</v>
      </c>
    </row>
    <row r="1262" spans="1:4" x14ac:dyDescent="0.2">
      <c r="A1262">
        <v>2022</v>
      </c>
      <c r="B1262">
        <v>30</v>
      </c>
      <c r="C1262" t="s">
        <v>5</v>
      </c>
      <c r="D1262">
        <v>71</v>
      </c>
    </row>
    <row r="1263" spans="1:4" x14ac:dyDescent="0.2">
      <c r="A1263">
        <v>2022</v>
      </c>
      <c r="B1263">
        <v>35</v>
      </c>
      <c r="C1263" t="s">
        <v>5</v>
      </c>
      <c r="D1263">
        <v>69</v>
      </c>
    </row>
    <row r="1264" spans="1:4" x14ac:dyDescent="0.2">
      <c r="A1264">
        <v>2022</v>
      </c>
      <c r="B1264">
        <v>40</v>
      </c>
      <c r="C1264" t="s">
        <v>5</v>
      </c>
      <c r="D1264">
        <v>41</v>
      </c>
    </row>
    <row r="1265" spans="1:4" x14ac:dyDescent="0.2">
      <c r="A1265">
        <v>2022</v>
      </c>
      <c r="B1265">
        <v>45</v>
      </c>
      <c r="C1265" t="s">
        <v>5</v>
      </c>
      <c r="D1265">
        <v>31</v>
      </c>
    </row>
    <row r="1266" spans="1:4" x14ac:dyDescent="0.2">
      <c r="A1266">
        <v>2022</v>
      </c>
      <c r="B1266">
        <v>50</v>
      </c>
      <c r="C1266" t="s">
        <v>5</v>
      </c>
      <c r="D1266">
        <v>15</v>
      </c>
    </row>
    <row r="1267" spans="1:4" x14ac:dyDescent="0.2">
      <c r="A1267">
        <v>2022</v>
      </c>
      <c r="B1267">
        <v>55</v>
      </c>
      <c r="C1267" t="s">
        <v>5</v>
      </c>
      <c r="D1267">
        <v>14</v>
      </c>
    </row>
    <row r="1268" spans="1:4" x14ac:dyDescent="0.2">
      <c r="A1268">
        <v>2022</v>
      </c>
      <c r="B1268">
        <v>60</v>
      </c>
      <c r="C1268" t="s">
        <v>5</v>
      </c>
      <c r="D1268">
        <v>8</v>
      </c>
    </row>
    <row r="1269" spans="1:4" x14ac:dyDescent="0.2">
      <c r="A1269">
        <v>2022</v>
      </c>
      <c r="B1269">
        <v>65</v>
      </c>
      <c r="C1269" t="s">
        <v>5</v>
      </c>
      <c r="D1269">
        <v>6</v>
      </c>
    </row>
    <row r="1270" spans="1:4" x14ac:dyDescent="0.2">
      <c r="A1270">
        <v>2022</v>
      </c>
      <c r="B1270">
        <v>70</v>
      </c>
      <c r="C1270" t="s">
        <v>5</v>
      </c>
      <c r="D1270">
        <v>0</v>
      </c>
    </row>
    <row r="1271" spans="1:4" x14ac:dyDescent="0.2">
      <c r="A1271">
        <v>2022</v>
      </c>
      <c r="B1271">
        <v>75</v>
      </c>
      <c r="C1271" t="s">
        <v>5</v>
      </c>
      <c r="D1271">
        <v>0</v>
      </c>
    </row>
    <row r="1272" spans="1:4" x14ac:dyDescent="0.2">
      <c r="A1272">
        <v>2022</v>
      </c>
      <c r="B1272">
        <v>80</v>
      </c>
      <c r="C1272" t="s">
        <v>5</v>
      </c>
      <c r="D1272">
        <v>0</v>
      </c>
    </row>
    <row r="1273" spans="1:4" x14ac:dyDescent="0.2">
      <c r="A1273">
        <v>2022</v>
      </c>
      <c r="B1273">
        <v>85</v>
      </c>
      <c r="C1273" t="s">
        <v>5</v>
      </c>
      <c r="D1273">
        <v>2</v>
      </c>
    </row>
    <row r="1274" spans="1:4" x14ac:dyDescent="0.2">
      <c r="A1274">
        <v>2023</v>
      </c>
      <c r="B1274">
        <v>0</v>
      </c>
      <c r="C1274" t="s">
        <v>5</v>
      </c>
      <c r="D1274">
        <v>2</v>
      </c>
    </row>
    <row r="1275" spans="1:4" x14ac:dyDescent="0.2">
      <c r="A1275">
        <v>2023</v>
      </c>
      <c r="B1275">
        <v>1</v>
      </c>
      <c r="C1275" t="s">
        <v>5</v>
      </c>
      <c r="D1275">
        <v>2</v>
      </c>
    </row>
    <row r="1276" spans="1:4" x14ac:dyDescent="0.2">
      <c r="A1276">
        <v>2023</v>
      </c>
      <c r="B1276">
        <v>5</v>
      </c>
      <c r="C1276" t="s">
        <v>5</v>
      </c>
      <c r="D1276">
        <v>2</v>
      </c>
    </row>
    <row r="1277" spans="1:4" x14ac:dyDescent="0.2">
      <c r="A1277">
        <v>2023</v>
      </c>
      <c r="B1277">
        <v>10</v>
      </c>
      <c r="C1277" t="s">
        <v>5</v>
      </c>
      <c r="D1277">
        <v>9</v>
      </c>
    </row>
    <row r="1278" spans="1:4" x14ac:dyDescent="0.2">
      <c r="A1278">
        <v>2023</v>
      </c>
      <c r="B1278">
        <v>15</v>
      </c>
      <c r="C1278" t="s">
        <v>5</v>
      </c>
      <c r="D1278">
        <v>39</v>
      </c>
    </row>
    <row r="1279" spans="1:4" x14ac:dyDescent="0.2">
      <c r="A1279">
        <v>2023</v>
      </c>
      <c r="B1279">
        <v>20</v>
      </c>
      <c r="C1279" t="s">
        <v>5</v>
      </c>
      <c r="D1279">
        <v>104</v>
      </c>
    </row>
    <row r="1280" spans="1:4" x14ac:dyDescent="0.2">
      <c r="A1280">
        <v>2023</v>
      </c>
      <c r="B1280">
        <v>25</v>
      </c>
      <c r="C1280" t="s">
        <v>5</v>
      </c>
      <c r="D1280">
        <v>97</v>
      </c>
    </row>
    <row r="1281" spans="1:4" x14ac:dyDescent="0.2">
      <c r="A1281">
        <v>2023</v>
      </c>
      <c r="B1281">
        <v>30</v>
      </c>
      <c r="C1281" t="s">
        <v>5</v>
      </c>
      <c r="D1281">
        <v>78</v>
      </c>
    </row>
    <row r="1282" spans="1:4" x14ac:dyDescent="0.2">
      <c r="A1282">
        <v>2023</v>
      </c>
      <c r="B1282">
        <v>35</v>
      </c>
      <c r="C1282" t="s">
        <v>5</v>
      </c>
      <c r="D1282">
        <v>53</v>
      </c>
    </row>
    <row r="1283" spans="1:4" x14ac:dyDescent="0.2">
      <c r="A1283">
        <v>2023</v>
      </c>
      <c r="B1283">
        <v>40</v>
      </c>
      <c r="C1283" t="s">
        <v>5</v>
      </c>
      <c r="D1283">
        <v>52</v>
      </c>
    </row>
    <row r="1284" spans="1:4" x14ac:dyDescent="0.2">
      <c r="A1284">
        <v>2023</v>
      </c>
      <c r="B1284">
        <v>45</v>
      </c>
      <c r="C1284" t="s">
        <v>5</v>
      </c>
      <c r="D1284">
        <v>26</v>
      </c>
    </row>
    <row r="1285" spans="1:4" x14ac:dyDescent="0.2">
      <c r="A1285">
        <v>2023</v>
      </c>
      <c r="B1285">
        <v>50</v>
      </c>
      <c r="C1285" t="s">
        <v>5</v>
      </c>
      <c r="D1285">
        <v>23</v>
      </c>
    </row>
    <row r="1286" spans="1:4" x14ac:dyDescent="0.2">
      <c r="A1286">
        <v>2023</v>
      </c>
      <c r="B1286">
        <v>55</v>
      </c>
      <c r="C1286" t="s">
        <v>5</v>
      </c>
      <c r="D1286">
        <v>9</v>
      </c>
    </row>
    <row r="1287" spans="1:4" x14ac:dyDescent="0.2">
      <c r="A1287">
        <v>2023</v>
      </c>
      <c r="B1287">
        <v>60</v>
      </c>
      <c r="C1287" t="s">
        <v>5</v>
      </c>
      <c r="D1287">
        <v>3</v>
      </c>
    </row>
    <row r="1288" spans="1:4" x14ac:dyDescent="0.2">
      <c r="A1288">
        <v>2023</v>
      </c>
      <c r="B1288">
        <v>65</v>
      </c>
      <c r="C1288" t="s">
        <v>5</v>
      </c>
      <c r="D1288">
        <v>4</v>
      </c>
    </row>
    <row r="1289" spans="1:4" x14ac:dyDescent="0.2">
      <c r="A1289">
        <v>2023</v>
      </c>
      <c r="B1289">
        <v>70</v>
      </c>
      <c r="C1289" t="s">
        <v>5</v>
      </c>
      <c r="D1289">
        <v>3</v>
      </c>
    </row>
    <row r="1290" spans="1:4" x14ac:dyDescent="0.2">
      <c r="A1290">
        <v>2023</v>
      </c>
      <c r="B1290">
        <v>75</v>
      </c>
      <c r="C1290" t="s">
        <v>5</v>
      </c>
      <c r="D1290">
        <v>5</v>
      </c>
    </row>
    <row r="1291" spans="1:4" x14ac:dyDescent="0.2">
      <c r="A1291">
        <v>2023</v>
      </c>
      <c r="B1291">
        <v>80</v>
      </c>
      <c r="C1291" t="s">
        <v>5</v>
      </c>
      <c r="D1291">
        <v>2</v>
      </c>
    </row>
    <row r="1292" spans="1:4" x14ac:dyDescent="0.2">
      <c r="A1292">
        <v>2023</v>
      </c>
      <c r="B1292">
        <v>85</v>
      </c>
      <c r="C1292" t="s">
        <v>5</v>
      </c>
      <c r="D1292">
        <v>3</v>
      </c>
    </row>
    <row r="1293" spans="1:4" x14ac:dyDescent="0.2">
      <c r="A1293">
        <v>2024</v>
      </c>
      <c r="B1293">
        <v>0</v>
      </c>
      <c r="C1293" t="s">
        <v>5</v>
      </c>
      <c r="D1293">
        <v>1</v>
      </c>
    </row>
    <row r="1294" spans="1:4" x14ac:dyDescent="0.2">
      <c r="A1294">
        <v>2024</v>
      </c>
      <c r="B1294">
        <v>1</v>
      </c>
      <c r="C1294" t="s">
        <v>5</v>
      </c>
      <c r="D1294">
        <v>1</v>
      </c>
    </row>
    <row r="1295" spans="1:4" x14ac:dyDescent="0.2">
      <c r="A1295">
        <v>2024</v>
      </c>
      <c r="B1295">
        <v>5</v>
      </c>
      <c r="C1295" t="s">
        <v>5</v>
      </c>
      <c r="D1295">
        <v>5</v>
      </c>
    </row>
    <row r="1296" spans="1:4" x14ac:dyDescent="0.2">
      <c r="A1296">
        <v>2024</v>
      </c>
      <c r="B1296">
        <v>10</v>
      </c>
      <c r="C1296" t="s">
        <v>5</v>
      </c>
      <c r="D1296">
        <v>5</v>
      </c>
    </row>
    <row r="1297" spans="1:4" x14ac:dyDescent="0.2">
      <c r="A1297">
        <v>2024</v>
      </c>
      <c r="B1297">
        <v>15</v>
      </c>
      <c r="C1297" t="s">
        <v>5</v>
      </c>
      <c r="D1297">
        <v>45</v>
      </c>
    </row>
    <row r="1298" spans="1:4" x14ac:dyDescent="0.2">
      <c r="A1298">
        <v>2024</v>
      </c>
      <c r="B1298">
        <v>20</v>
      </c>
      <c r="C1298" t="s">
        <v>5</v>
      </c>
      <c r="D1298">
        <v>86</v>
      </c>
    </row>
    <row r="1299" spans="1:4" x14ac:dyDescent="0.2">
      <c r="A1299">
        <v>2024</v>
      </c>
      <c r="B1299">
        <v>25</v>
      </c>
      <c r="C1299" t="s">
        <v>5</v>
      </c>
      <c r="D1299">
        <v>81</v>
      </c>
    </row>
    <row r="1300" spans="1:4" x14ac:dyDescent="0.2">
      <c r="A1300">
        <v>2024</v>
      </c>
      <c r="B1300">
        <v>30</v>
      </c>
      <c r="C1300" t="s">
        <v>5</v>
      </c>
      <c r="D1300">
        <v>72</v>
      </c>
    </row>
    <row r="1301" spans="1:4" x14ac:dyDescent="0.2">
      <c r="A1301">
        <v>2024</v>
      </c>
      <c r="B1301">
        <v>35</v>
      </c>
      <c r="C1301" t="s">
        <v>5</v>
      </c>
      <c r="D1301">
        <v>83</v>
      </c>
    </row>
    <row r="1302" spans="1:4" x14ac:dyDescent="0.2">
      <c r="A1302">
        <v>2024</v>
      </c>
      <c r="B1302">
        <v>40</v>
      </c>
      <c r="C1302" t="s">
        <v>5</v>
      </c>
      <c r="D1302">
        <v>48</v>
      </c>
    </row>
    <row r="1303" spans="1:4" x14ac:dyDescent="0.2">
      <c r="A1303">
        <v>2024</v>
      </c>
      <c r="B1303">
        <v>45</v>
      </c>
      <c r="C1303" t="s">
        <v>5</v>
      </c>
      <c r="D1303">
        <v>29</v>
      </c>
    </row>
    <row r="1304" spans="1:4" x14ac:dyDescent="0.2">
      <c r="A1304">
        <v>2024</v>
      </c>
      <c r="B1304">
        <v>50</v>
      </c>
      <c r="C1304" t="s">
        <v>5</v>
      </c>
      <c r="D1304">
        <v>20</v>
      </c>
    </row>
    <row r="1305" spans="1:4" x14ac:dyDescent="0.2">
      <c r="A1305">
        <v>2024</v>
      </c>
      <c r="B1305">
        <v>55</v>
      </c>
      <c r="C1305" t="s">
        <v>5</v>
      </c>
      <c r="D1305">
        <v>13</v>
      </c>
    </row>
    <row r="1306" spans="1:4" x14ac:dyDescent="0.2">
      <c r="A1306">
        <v>2024</v>
      </c>
      <c r="B1306">
        <v>60</v>
      </c>
      <c r="C1306" t="s">
        <v>5</v>
      </c>
      <c r="D1306">
        <v>8</v>
      </c>
    </row>
    <row r="1307" spans="1:4" x14ac:dyDescent="0.2">
      <c r="A1307">
        <v>2024</v>
      </c>
      <c r="B1307">
        <v>65</v>
      </c>
      <c r="C1307" t="s">
        <v>5</v>
      </c>
      <c r="D1307">
        <v>3</v>
      </c>
    </row>
    <row r="1308" spans="1:4" x14ac:dyDescent="0.2">
      <c r="A1308">
        <v>2024</v>
      </c>
      <c r="B1308">
        <v>70</v>
      </c>
      <c r="C1308" t="s">
        <v>5</v>
      </c>
      <c r="D1308">
        <v>2</v>
      </c>
    </row>
    <row r="1309" spans="1:4" x14ac:dyDescent="0.2">
      <c r="A1309">
        <v>2024</v>
      </c>
      <c r="B1309">
        <v>75</v>
      </c>
      <c r="C1309" t="s">
        <v>5</v>
      </c>
      <c r="D1309">
        <v>1</v>
      </c>
    </row>
    <row r="1310" spans="1:4" x14ac:dyDescent="0.2">
      <c r="A1310">
        <v>2024</v>
      </c>
      <c r="B1310">
        <v>80</v>
      </c>
      <c r="C1310" t="s">
        <v>5</v>
      </c>
      <c r="D1310">
        <v>1</v>
      </c>
    </row>
    <row r="1311" spans="1:4" x14ac:dyDescent="0.2">
      <c r="A1311">
        <v>2024</v>
      </c>
      <c r="B1311">
        <v>85</v>
      </c>
      <c r="C1311" t="s">
        <v>5</v>
      </c>
      <c r="D1311">
        <v>0</v>
      </c>
    </row>
  </sheetData>
  <sortState xmlns:xlrd2="http://schemas.microsoft.com/office/spreadsheetml/2017/richdata2" ref="A2:D1313">
    <sortCondition descending="1" ref="C2:C13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7C00-5D7C-024C-8223-BA50F3067FBA}">
  <dimension ref="A1:D115"/>
  <sheetViews>
    <sheetView topLeftCell="A45" workbookViewId="0">
      <selection activeCell="E87" sqref="E8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2010</v>
      </c>
      <c r="B2" t="s">
        <v>4</v>
      </c>
      <c r="C2">
        <v>0</v>
      </c>
      <c r="D2">
        <v>863.98193836394205</v>
      </c>
    </row>
    <row r="3" spans="1:4" x14ac:dyDescent="0.2">
      <c r="A3">
        <v>2010</v>
      </c>
      <c r="B3" t="s">
        <v>4</v>
      </c>
      <c r="C3">
        <v>1</v>
      </c>
      <c r="D3">
        <v>135.52248050018801</v>
      </c>
    </row>
    <row r="4" spans="1:4" x14ac:dyDescent="0.2">
      <c r="A4">
        <v>2010</v>
      </c>
      <c r="B4" t="s">
        <v>4</v>
      </c>
      <c r="C4">
        <v>5</v>
      </c>
      <c r="D4">
        <v>77.298007396403307</v>
      </c>
    </row>
    <row r="5" spans="1:4" x14ac:dyDescent="0.2">
      <c r="A5">
        <v>2010</v>
      </c>
      <c r="B5" t="s">
        <v>4</v>
      </c>
      <c r="C5">
        <v>10</v>
      </c>
      <c r="D5">
        <v>124.479908014987</v>
      </c>
    </row>
    <row r="6" spans="1:4" x14ac:dyDescent="0.2">
      <c r="A6">
        <v>2010</v>
      </c>
      <c r="B6" t="s">
        <v>4</v>
      </c>
      <c r="C6">
        <v>15</v>
      </c>
      <c r="D6">
        <v>332.281044781942</v>
      </c>
    </row>
    <row r="7" spans="1:4" x14ac:dyDescent="0.2">
      <c r="A7">
        <v>2010</v>
      </c>
      <c r="B7" t="s">
        <v>4</v>
      </c>
      <c r="C7">
        <v>20</v>
      </c>
      <c r="D7">
        <v>395.52486901536298</v>
      </c>
    </row>
    <row r="8" spans="1:4" x14ac:dyDescent="0.2">
      <c r="A8">
        <v>2010</v>
      </c>
      <c r="B8" t="s">
        <v>4</v>
      </c>
      <c r="C8">
        <v>25</v>
      </c>
      <c r="D8">
        <v>373.43972404496202</v>
      </c>
    </row>
    <row r="9" spans="1:4" x14ac:dyDescent="0.2">
      <c r="A9">
        <v>2010</v>
      </c>
      <c r="B9" t="s">
        <v>4</v>
      </c>
      <c r="C9">
        <v>30</v>
      </c>
      <c r="D9">
        <v>370.42811336718</v>
      </c>
    </row>
    <row r="10" spans="1:4" x14ac:dyDescent="0.2">
      <c r="A10">
        <v>2010</v>
      </c>
      <c r="B10" t="s">
        <v>4</v>
      </c>
      <c r="C10">
        <v>35</v>
      </c>
      <c r="D10">
        <v>472.822876411766</v>
      </c>
    </row>
    <row r="11" spans="1:4" x14ac:dyDescent="0.2">
      <c r="A11">
        <v>2010</v>
      </c>
      <c r="B11" t="s">
        <v>4</v>
      </c>
      <c r="C11">
        <v>40</v>
      </c>
      <c r="D11">
        <v>521.00864725627696</v>
      </c>
    </row>
    <row r="12" spans="1:4" x14ac:dyDescent="0.2">
      <c r="A12">
        <v>2010</v>
      </c>
      <c r="B12" t="s">
        <v>4</v>
      </c>
      <c r="C12">
        <v>45</v>
      </c>
      <c r="D12">
        <v>577.22537990820695</v>
      </c>
    </row>
    <row r="13" spans="1:4" x14ac:dyDescent="0.2">
      <c r="A13">
        <v>2010</v>
      </c>
      <c r="B13" t="s">
        <v>4</v>
      </c>
      <c r="C13">
        <v>50</v>
      </c>
      <c r="D13">
        <v>738.84848628250495</v>
      </c>
    </row>
    <row r="14" spans="1:4" x14ac:dyDescent="0.2">
      <c r="A14">
        <v>2010</v>
      </c>
      <c r="B14" t="s">
        <v>4</v>
      </c>
      <c r="C14">
        <v>55</v>
      </c>
      <c r="D14">
        <v>832.20841729374501</v>
      </c>
    </row>
    <row r="15" spans="1:4" x14ac:dyDescent="0.2">
      <c r="A15">
        <v>2010</v>
      </c>
      <c r="B15" t="s">
        <v>4</v>
      </c>
      <c r="C15">
        <v>60</v>
      </c>
      <c r="D15">
        <v>965.72315734207803</v>
      </c>
    </row>
    <row r="16" spans="1:4" x14ac:dyDescent="0.2">
      <c r="A16">
        <v>2010</v>
      </c>
      <c r="B16" t="s">
        <v>4</v>
      </c>
      <c r="C16">
        <v>65</v>
      </c>
      <c r="D16">
        <v>1108.27272942376</v>
      </c>
    </row>
    <row r="17" spans="1:4" x14ac:dyDescent="0.2">
      <c r="A17">
        <v>2010</v>
      </c>
      <c r="B17" t="s">
        <v>4</v>
      </c>
      <c r="C17">
        <v>70</v>
      </c>
      <c r="D17">
        <v>1286.9616296388201</v>
      </c>
    </row>
    <row r="18" spans="1:4" x14ac:dyDescent="0.2">
      <c r="A18">
        <v>2010</v>
      </c>
      <c r="B18" t="s">
        <v>4</v>
      </c>
      <c r="C18">
        <v>75</v>
      </c>
      <c r="D18">
        <v>1531.9059647650799</v>
      </c>
    </row>
    <row r="19" spans="1:4" x14ac:dyDescent="0.2">
      <c r="A19">
        <v>2010</v>
      </c>
      <c r="B19" t="s">
        <v>4</v>
      </c>
      <c r="C19">
        <v>80</v>
      </c>
      <c r="D19">
        <v>1490.7472855020601</v>
      </c>
    </row>
    <row r="20" spans="1:4" x14ac:dyDescent="0.2">
      <c r="A20">
        <v>2010</v>
      </c>
      <c r="B20" t="s">
        <v>4</v>
      </c>
      <c r="C20">
        <v>85</v>
      </c>
      <c r="D20">
        <v>2525.7374884331298</v>
      </c>
    </row>
    <row r="21" spans="1:4" x14ac:dyDescent="0.2">
      <c r="A21" s="53">
        <v>2019</v>
      </c>
      <c r="B21" s="53" t="s">
        <v>4</v>
      </c>
      <c r="C21" s="53">
        <v>0</v>
      </c>
      <c r="D21" s="53">
        <v>644.43531112688504</v>
      </c>
    </row>
    <row r="22" spans="1:4" x14ac:dyDescent="0.2">
      <c r="A22" s="53">
        <v>2019</v>
      </c>
      <c r="B22" s="53" t="s">
        <v>4</v>
      </c>
      <c r="C22" s="53">
        <v>1</v>
      </c>
      <c r="D22" s="53">
        <v>125.086569136389</v>
      </c>
    </row>
    <row r="23" spans="1:4" x14ac:dyDescent="0.2">
      <c r="A23" s="53">
        <v>2019</v>
      </c>
      <c r="B23" s="53" t="s">
        <v>4</v>
      </c>
      <c r="C23" s="53">
        <v>5</v>
      </c>
      <c r="D23" s="53">
        <v>82.056789353471203</v>
      </c>
    </row>
    <row r="24" spans="1:4" x14ac:dyDescent="0.2">
      <c r="A24" s="53">
        <v>2019</v>
      </c>
      <c r="B24" s="53" t="s">
        <v>4</v>
      </c>
      <c r="C24" s="53">
        <v>10</v>
      </c>
      <c r="D24" s="53">
        <v>132.09141700802701</v>
      </c>
    </row>
    <row r="25" spans="1:4" x14ac:dyDescent="0.2">
      <c r="A25" s="53">
        <v>2019</v>
      </c>
      <c r="B25" s="53" t="s">
        <v>4</v>
      </c>
      <c r="C25" s="53">
        <v>15</v>
      </c>
      <c r="D25" s="53">
        <v>572.39614036811599</v>
      </c>
    </row>
    <row r="26" spans="1:4" x14ac:dyDescent="0.2">
      <c r="A26" s="53">
        <v>2019</v>
      </c>
      <c r="B26" s="53" t="s">
        <v>4</v>
      </c>
      <c r="C26" s="53">
        <v>20</v>
      </c>
      <c r="D26" s="53">
        <v>1019.70571159984</v>
      </c>
    </row>
    <row r="27" spans="1:4" x14ac:dyDescent="0.2">
      <c r="A27" s="53">
        <v>2019</v>
      </c>
      <c r="B27" s="53" t="s">
        <v>4</v>
      </c>
      <c r="C27" s="53">
        <v>25</v>
      </c>
      <c r="D27" s="53">
        <v>1105.7652711656799</v>
      </c>
    </row>
    <row r="28" spans="1:4" x14ac:dyDescent="0.2">
      <c r="A28" s="53">
        <v>2019</v>
      </c>
      <c r="B28" s="53" t="s">
        <v>4</v>
      </c>
      <c r="C28" s="53">
        <v>30</v>
      </c>
      <c r="D28" s="53">
        <v>1028.71194457766</v>
      </c>
    </row>
    <row r="29" spans="1:4" x14ac:dyDescent="0.2">
      <c r="A29" s="53">
        <v>2019</v>
      </c>
      <c r="B29" s="53" t="s">
        <v>4</v>
      </c>
      <c r="C29" s="53">
        <v>35</v>
      </c>
      <c r="D29" s="53">
        <v>964.66762117983205</v>
      </c>
    </row>
    <row r="30" spans="1:4" x14ac:dyDescent="0.2">
      <c r="A30" s="53">
        <v>2019</v>
      </c>
      <c r="B30" s="53" t="s">
        <v>4</v>
      </c>
      <c r="C30" s="53">
        <v>40</v>
      </c>
      <c r="D30" s="53">
        <v>1056.7313360642099</v>
      </c>
    </row>
    <row r="31" spans="1:4" x14ac:dyDescent="0.2">
      <c r="A31" s="53">
        <v>2019</v>
      </c>
      <c r="B31" s="53" t="s">
        <v>4</v>
      </c>
      <c r="C31" s="53">
        <v>45</v>
      </c>
      <c r="D31" s="53">
        <v>1103.7638860595</v>
      </c>
    </row>
    <row r="32" spans="1:4" x14ac:dyDescent="0.2">
      <c r="A32" s="53">
        <v>2019</v>
      </c>
      <c r="B32" s="53" t="s">
        <v>4</v>
      </c>
      <c r="C32" s="53">
        <v>50</v>
      </c>
      <c r="D32" s="53">
        <v>1150.7964360547801</v>
      </c>
    </row>
    <row r="33" spans="1:4" x14ac:dyDescent="0.2">
      <c r="A33" s="53">
        <v>2019</v>
      </c>
      <c r="B33" s="53" t="s">
        <v>4</v>
      </c>
      <c r="C33" s="53">
        <v>55</v>
      </c>
      <c r="D33" s="53">
        <v>1344.9307913544501</v>
      </c>
    </row>
    <row r="34" spans="1:4" x14ac:dyDescent="0.2">
      <c r="A34" s="53">
        <v>2019</v>
      </c>
      <c r="B34" s="53" t="s">
        <v>4</v>
      </c>
      <c r="C34" s="53">
        <v>60</v>
      </c>
      <c r="D34" s="53">
        <v>1419.9827328362901</v>
      </c>
    </row>
    <row r="35" spans="1:4" x14ac:dyDescent="0.2">
      <c r="A35" s="53">
        <v>2019</v>
      </c>
      <c r="B35" s="53" t="s">
        <v>4</v>
      </c>
      <c r="C35" s="53">
        <v>65</v>
      </c>
      <c r="D35" s="53">
        <v>1542.0672243133999</v>
      </c>
    </row>
    <row r="36" spans="1:4" x14ac:dyDescent="0.2">
      <c r="A36" s="53">
        <v>2019</v>
      </c>
      <c r="B36" s="53" t="s">
        <v>4</v>
      </c>
      <c r="C36" s="53">
        <v>70</v>
      </c>
      <c r="D36" s="53">
        <v>1719.1898062105299</v>
      </c>
    </row>
    <row r="37" spans="1:4" x14ac:dyDescent="0.2">
      <c r="A37" s="53">
        <v>2019</v>
      </c>
      <c r="B37" s="53" t="s">
        <v>4</v>
      </c>
      <c r="C37" s="53">
        <v>75</v>
      </c>
      <c r="D37" s="53">
        <v>1722.1918838698</v>
      </c>
    </row>
    <row r="38" spans="1:4" x14ac:dyDescent="0.2">
      <c r="A38" s="53">
        <v>2019</v>
      </c>
      <c r="B38" s="53" t="s">
        <v>4</v>
      </c>
      <c r="C38" s="53">
        <v>80</v>
      </c>
      <c r="D38" s="53">
        <v>1773.2272040774501</v>
      </c>
    </row>
    <row r="39" spans="1:4" x14ac:dyDescent="0.2">
      <c r="A39" s="53">
        <v>2019</v>
      </c>
      <c r="B39" s="53" t="s">
        <v>4</v>
      </c>
      <c r="C39" s="53">
        <v>85</v>
      </c>
      <c r="D39" s="53">
        <v>3166.1912379802802</v>
      </c>
    </row>
    <row r="40" spans="1:4" x14ac:dyDescent="0.2">
      <c r="A40">
        <v>2021</v>
      </c>
      <c r="B40" t="s">
        <v>4</v>
      </c>
      <c r="C40">
        <v>0</v>
      </c>
      <c r="D40">
        <v>483.14104182480497</v>
      </c>
    </row>
    <row r="41" spans="1:4" x14ac:dyDescent="0.2">
      <c r="A41">
        <v>2021</v>
      </c>
      <c r="B41" t="s">
        <v>4</v>
      </c>
      <c r="C41">
        <v>1</v>
      </c>
      <c r="D41">
        <v>99.003047830043101</v>
      </c>
    </row>
    <row r="42" spans="1:4" x14ac:dyDescent="0.2">
      <c r="A42">
        <v>2021</v>
      </c>
      <c r="B42" t="s">
        <v>4</v>
      </c>
      <c r="C42">
        <v>5</v>
      </c>
      <c r="D42">
        <v>65.002001100533406</v>
      </c>
    </row>
    <row r="43" spans="1:4" x14ac:dyDescent="0.2">
      <c r="A43">
        <v>2021</v>
      </c>
      <c r="B43" t="s">
        <v>4</v>
      </c>
      <c r="C43">
        <v>10</v>
      </c>
      <c r="D43">
        <v>136.00418691803901</v>
      </c>
    </row>
    <row r="44" spans="1:4" x14ac:dyDescent="0.2">
      <c r="A44">
        <v>2021</v>
      </c>
      <c r="B44" t="s">
        <v>4</v>
      </c>
      <c r="C44">
        <v>15</v>
      </c>
      <c r="D44">
        <v>618.01902584814798</v>
      </c>
    </row>
    <row r="45" spans="1:4" x14ac:dyDescent="0.2">
      <c r="A45">
        <v>2021</v>
      </c>
      <c r="B45" t="s">
        <v>4</v>
      </c>
      <c r="C45">
        <v>20</v>
      </c>
      <c r="D45">
        <v>1067.0328488349101</v>
      </c>
    </row>
    <row r="46" spans="1:4" x14ac:dyDescent="0.2">
      <c r="A46">
        <v>2021</v>
      </c>
      <c r="B46" t="s">
        <v>4</v>
      </c>
      <c r="C46">
        <v>25</v>
      </c>
      <c r="D46">
        <v>1165.03586587879</v>
      </c>
    </row>
    <row r="47" spans="1:4" x14ac:dyDescent="0.2">
      <c r="A47">
        <v>2021</v>
      </c>
      <c r="B47" t="s">
        <v>4</v>
      </c>
      <c r="C47">
        <v>30</v>
      </c>
      <c r="D47">
        <v>1117.0343881430099</v>
      </c>
    </row>
    <row r="48" spans="1:4" x14ac:dyDescent="0.2">
      <c r="A48">
        <v>2021</v>
      </c>
      <c r="B48" t="s">
        <v>4</v>
      </c>
      <c r="C48">
        <v>35</v>
      </c>
      <c r="D48">
        <v>1203.03703575295</v>
      </c>
    </row>
    <row r="49" spans="1:4" x14ac:dyDescent="0.2">
      <c r="A49">
        <v>2021</v>
      </c>
      <c r="B49" t="s">
        <v>4</v>
      </c>
      <c r="C49">
        <v>40</v>
      </c>
      <c r="D49">
        <v>1335.0410995263401</v>
      </c>
    </row>
    <row r="50" spans="1:4" x14ac:dyDescent="0.2">
      <c r="A50">
        <v>2021</v>
      </c>
      <c r="B50" t="s">
        <v>4</v>
      </c>
      <c r="C50">
        <v>45</v>
      </c>
      <c r="D50">
        <v>1689.05199782771</v>
      </c>
    </row>
    <row r="51" spans="1:4" x14ac:dyDescent="0.2">
      <c r="A51">
        <v>2021</v>
      </c>
      <c r="B51" t="s">
        <v>4</v>
      </c>
      <c r="C51">
        <v>50</v>
      </c>
      <c r="D51">
        <v>1986.0611413178301</v>
      </c>
    </row>
    <row r="52" spans="1:4" x14ac:dyDescent="0.2">
      <c r="A52">
        <v>2021</v>
      </c>
      <c r="B52" t="s">
        <v>4</v>
      </c>
      <c r="C52">
        <v>55</v>
      </c>
      <c r="D52">
        <v>2285.0703463802902</v>
      </c>
    </row>
    <row r="53" spans="1:4" x14ac:dyDescent="0.2">
      <c r="A53">
        <v>2021</v>
      </c>
      <c r="B53" t="s">
        <v>4</v>
      </c>
      <c r="C53">
        <v>60</v>
      </c>
      <c r="D53">
        <v>2646.0814601847901</v>
      </c>
    </row>
    <row r="54" spans="1:4" x14ac:dyDescent="0.2">
      <c r="A54">
        <v>2021</v>
      </c>
      <c r="B54" t="s">
        <v>4</v>
      </c>
      <c r="C54">
        <v>65</v>
      </c>
      <c r="D54">
        <v>3037.0934975741502</v>
      </c>
    </row>
    <row r="55" spans="1:4" x14ac:dyDescent="0.2">
      <c r="A55">
        <v>2021</v>
      </c>
      <c r="B55" t="s">
        <v>4</v>
      </c>
      <c r="C55">
        <v>70</v>
      </c>
      <c r="D55">
        <v>3042.0936515049598</v>
      </c>
    </row>
    <row r="56" spans="1:4" x14ac:dyDescent="0.2">
      <c r="A56">
        <v>2021</v>
      </c>
      <c r="B56" t="s">
        <v>4</v>
      </c>
      <c r="C56">
        <v>75</v>
      </c>
      <c r="D56">
        <v>3116.0959296809501</v>
      </c>
    </row>
    <row r="57" spans="1:4" x14ac:dyDescent="0.2">
      <c r="A57">
        <v>2021</v>
      </c>
      <c r="B57" t="s">
        <v>4</v>
      </c>
      <c r="C57">
        <v>80</v>
      </c>
      <c r="D57">
        <v>2908.08952615925</v>
      </c>
    </row>
    <row r="58" spans="1:4" x14ac:dyDescent="0.2">
      <c r="A58">
        <v>2021</v>
      </c>
      <c r="B58" t="s">
        <v>4</v>
      </c>
      <c r="C58">
        <v>85</v>
      </c>
      <c r="D58">
        <v>4485.1380759368003</v>
      </c>
    </row>
    <row r="59" spans="1:4" x14ac:dyDescent="0.2">
      <c r="A59">
        <v>2010</v>
      </c>
      <c r="B59" t="s">
        <v>5</v>
      </c>
      <c r="C59">
        <v>0</v>
      </c>
      <c r="D59">
        <v>663.26700481144906</v>
      </c>
    </row>
    <row r="60" spans="1:4" x14ac:dyDescent="0.2">
      <c r="A60">
        <v>2010</v>
      </c>
      <c r="B60" t="s">
        <v>5</v>
      </c>
      <c r="C60">
        <v>1</v>
      </c>
      <c r="D60">
        <v>130.18018266655301</v>
      </c>
    </row>
    <row r="61" spans="1:4" x14ac:dyDescent="0.2">
      <c r="A61">
        <v>2010</v>
      </c>
      <c r="B61" t="s">
        <v>5</v>
      </c>
      <c r="C61">
        <v>5</v>
      </c>
      <c r="D61">
        <v>68.094249394812607</v>
      </c>
    </row>
    <row r="62" spans="1:4" x14ac:dyDescent="0.2">
      <c r="A62">
        <v>2010</v>
      </c>
      <c r="B62" t="s">
        <v>5</v>
      </c>
      <c r="C62">
        <v>10</v>
      </c>
      <c r="D62">
        <v>86.119197764027604</v>
      </c>
    </row>
    <row r="63" spans="1:4" x14ac:dyDescent="0.2">
      <c r="A63">
        <v>2010</v>
      </c>
      <c r="B63" t="s">
        <v>5</v>
      </c>
      <c r="C63">
        <v>15</v>
      </c>
      <c r="D63">
        <v>138.19127083064899</v>
      </c>
    </row>
    <row r="64" spans="1:4" x14ac:dyDescent="0.2">
      <c r="A64">
        <v>2010</v>
      </c>
      <c r="B64" t="s">
        <v>5</v>
      </c>
      <c r="C64">
        <v>20</v>
      </c>
      <c r="D64">
        <v>136.18849878962499</v>
      </c>
    </row>
    <row r="65" spans="1:4" x14ac:dyDescent="0.2">
      <c r="A65">
        <v>2010</v>
      </c>
      <c r="B65" t="s">
        <v>5</v>
      </c>
      <c r="C65">
        <v>25</v>
      </c>
      <c r="D65">
        <v>126.174638584506</v>
      </c>
    </row>
    <row r="66" spans="1:4" x14ac:dyDescent="0.2">
      <c r="A66">
        <v>2010</v>
      </c>
      <c r="B66" t="s">
        <v>5</v>
      </c>
      <c r="C66">
        <v>30</v>
      </c>
      <c r="D66">
        <v>134.18572674860101</v>
      </c>
    </row>
    <row r="67" spans="1:4" x14ac:dyDescent="0.2">
      <c r="A67">
        <v>2010</v>
      </c>
      <c r="B67" t="s">
        <v>5</v>
      </c>
      <c r="C67">
        <v>35</v>
      </c>
      <c r="D67">
        <v>193.26750195880601</v>
      </c>
    </row>
    <row r="68" spans="1:4" x14ac:dyDescent="0.2">
      <c r="A68">
        <v>2010</v>
      </c>
      <c r="B68" t="s">
        <v>5</v>
      </c>
      <c r="C68">
        <v>40</v>
      </c>
      <c r="D68">
        <v>241.33403094337999</v>
      </c>
    </row>
    <row r="69" spans="1:4" x14ac:dyDescent="0.2">
      <c r="A69">
        <v>2010</v>
      </c>
      <c r="B69" t="s">
        <v>5</v>
      </c>
      <c r="C69">
        <v>45</v>
      </c>
      <c r="D69">
        <v>378.52391575351697</v>
      </c>
    </row>
    <row r="70" spans="1:4" x14ac:dyDescent="0.2">
      <c r="A70">
        <v>2010</v>
      </c>
      <c r="B70" t="s">
        <v>5</v>
      </c>
      <c r="C70">
        <v>50</v>
      </c>
      <c r="D70">
        <v>544.75399515849995</v>
      </c>
    </row>
    <row r="71" spans="1:4" x14ac:dyDescent="0.2">
      <c r="A71">
        <v>2010</v>
      </c>
      <c r="B71" t="s">
        <v>5</v>
      </c>
      <c r="C71">
        <v>55</v>
      </c>
      <c r="D71">
        <v>640.88705312764796</v>
      </c>
    </row>
    <row r="72" spans="1:4" x14ac:dyDescent="0.2">
      <c r="A72">
        <v>2010</v>
      </c>
      <c r="B72" t="s">
        <v>5</v>
      </c>
      <c r="C72">
        <v>60</v>
      </c>
      <c r="D72">
        <v>833.15316906594205</v>
      </c>
    </row>
    <row r="73" spans="1:4" x14ac:dyDescent="0.2">
      <c r="A73">
        <v>2010</v>
      </c>
      <c r="B73" t="s">
        <v>5</v>
      </c>
      <c r="C73">
        <v>65</v>
      </c>
      <c r="D73">
        <v>927.28345499406498</v>
      </c>
    </row>
    <row r="74" spans="1:4" x14ac:dyDescent="0.2">
      <c r="A74">
        <v>2010</v>
      </c>
      <c r="B74" t="s">
        <v>5</v>
      </c>
      <c r="C74">
        <v>70</v>
      </c>
      <c r="D74">
        <v>1154.5980816502799</v>
      </c>
    </row>
    <row r="75" spans="1:4" x14ac:dyDescent="0.2">
      <c r="A75">
        <v>2010</v>
      </c>
      <c r="B75" t="s">
        <v>5</v>
      </c>
      <c r="C75">
        <v>75</v>
      </c>
      <c r="D75">
        <v>1323.8323191167999</v>
      </c>
    </row>
    <row r="76" spans="1:4" x14ac:dyDescent="0.2">
      <c r="A76">
        <v>2010</v>
      </c>
      <c r="B76" t="s">
        <v>5</v>
      </c>
      <c r="C76">
        <v>80</v>
      </c>
      <c r="D76">
        <v>1537.1275414858401</v>
      </c>
    </row>
    <row r="77" spans="1:4" x14ac:dyDescent="0.2">
      <c r="A77">
        <v>2010</v>
      </c>
      <c r="B77" t="s">
        <v>5</v>
      </c>
      <c r="C77">
        <v>85</v>
      </c>
      <c r="D77">
        <v>3193.4200194126101</v>
      </c>
    </row>
    <row r="78" spans="1:4" x14ac:dyDescent="0.2">
      <c r="A78" s="56">
        <v>2019</v>
      </c>
      <c r="B78" s="56" t="s">
        <v>5</v>
      </c>
      <c r="C78" s="56">
        <v>0</v>
      </c>
      <c r="D78" s="56">
        <v>486.010685663402</v>
      </c>
    </row>
    <row r="79" spans="1:4" x14ac:dyDescent="0.2">
      <c r="A79" s="56">
        <v>2019</v>
      </c>
      <c r="B79" s="56" t="s">
        <v>5</v>
      </c>
      <c r="C79" s="56">
        <v>1</v>
      </c>
      <c r="D79" s="56">
        <v>94</v>
      </c>
    </row>
    <row r="80" spans="1:4" x14ac:dyDescent="0.2">
      <c r="A80" s="56">
        <v>2019</v>
      </c>
      <c r="B80" s="56" t="s">
        <v>5</v>
      </c>
      <c r="C80" s="56">
        <v>5</v>
      </c>
      <c r="D80" s="56">
        <v>62</v>
      </c>
    </row>
    <row r="81" spans="1:4" x14ac:dyDescent="0.2">
      <c r="A81" s="56">
        <v>2019</v>
      </c>
      <c r="B81" s="56" t="s">
        <v>5</v>
      </c>
      <c r="C81" s="56">
        <v>10</v>
      </c>
      <c r="D81" s="56">
        <v>62</v>
      </c>
    </row>
    <row r="82" spans="1:4" x14ac:dyDescent="0.2">
      <c r="A82" s="56">
        <v>2019</v>
      </c>
      <c r="B82" s="56" t="s">
        <v>5</v>
      </c>
      <c r="C82" s="56">
        <v>15</v>
      </c>
      <c r="D82" s="56">
        <v>139</v>
      </c>
    </row>
    <row r="83" spans="1:4" x14ac:dyDescent="0.2">
      <c r="A83" s="56">
        <v>2019</v>
      </c>
      <c r="B83" s="56" t="s">
        <v>5</v>
      </c>
      <c r="C83" s="56">
        <v>20</v>
      </c>
      <c r="D83" s="56">
        <v>208</v>
      </c>
    </row>
    <row r="84" spans="1:4" x14ac:dyDescent="0.2">
      <c r="A84" s="56">
        <v>2019</v>
      </c>
      <c r="B84" s="56" t="s">
        <v>5</v>
      </c>
      <c r="C84" s="56">
        <v>25</v>
      </c>
      <c r="D84" s="56">
        <v>264</v>
      </c>
    </row>
    <row r="85" spans="1:4" x14ac:dyDescent="0.2">
      <c r="A85" s="56">
        <v>2019</v>
      </c>
      <c r="B85" s="56" t="s">
        <v>5</v>
      </c>
      <c r="C85" s="56">
        <v>30</v>
      </c>
      <c r="D85" s="56">
        <v>265</v>
      </c>
    </row>
    <row r="86" spans="1:4" x14ac:dyDescent="0.2">
      <c r="A86" s="56">
        <v>2019</v>
      </c>
      <c r="B86" s="56" t="s">
        <v>5</v>
      </c>
      <c r="C86" s="56">
        <v>35</v>
      </c>
      <c r="D86" s="56">
        <v>303</v>
      </c>
    </row>
    <row r="87" spans="1:4" x14ac:dyDescent="0.2">
      <c r="A87" s="56">
        <v>2019</v>
      </c>
      <c r="B87" s="56" t="s">
        <v>5</v>
      </c>
      <c r="C87" s="56">
        <v>40</v>
      </c>
      <c r="D87" s="56">
        <v>358</v>
      </c>
    </row>
    <row r="88" spans="1:4" x14ac:dyDescent="0.2">
      <c r="A88" s="56">
        <v>2019</v>
      </c>
      <c r="B88" s="56" t="s">
        <v>5</v>
      </c>
      <c r="C88" s="56">
        <v>45</v>
      </c>
      <c r="D88" s="56">
        <v>499</v>
      </c>
    </row>
    <row r="89" spans="1:4" x14ac:dyDescent="0.2">
      <c r="A89" s="56">
        <v>2019</v>
      </c>
      <c r="B89" s="56" t="s">
        <v>5</v>
      </c>
      <c r="C89" s="56">
        <v>50</v>
      </c>
      <c r="D89" s="56">
        <v>706</v>
      </c>
    </row>
    <row r="90" spans="1:4" x14ac:dyDescent="0.2">
      <c r="A90" s="56">
        <v>2019</v>
      </c>
      <c r="B90" s="56" t="s">
        <v>5</v>
      </c>
      <c r="C90" s="56">
        <v>55</v>
      </c>
      <c r="D90" s="56">
        <v>892</v>
      </c>
    </row>
    <row r="91" spans="1:4" x14ac:dyDescent="0.2">
      <c r="A91" s="56">
        <v>2019</v>
      </c>
      <c r="B91" s="56" t="s">
        <v>5</v>
      </c>
      <c r="C91" s="56">
        <v>60</v>
      </c>
      <c r="D91" s="56">
        <v>1112</v>
      </c>
    </row>
    <row r="92" spans="1:4" x14ac:dyDescent="0.2">
      <c r="A92" s="56">
        <v>2019</v>
      </c>
      <c r="B92" s="56" t="s">
        <v>5</v>
      </c>
      <c r="C92" s="56">
        <v>65</v>
      </c>
      <c r="D92" s="56">
        <v>1310</v>
      </c>
    </row>
    <row r="93" spans="1:4" x14ac:dyDescent="0.2">
      <c r="A93" s="56">
        <v>2019</v>
      </c>
      <c r="B93" s="56" t="s">
        <v>5</v>
      </c>
      <c r="C93" s="56">
        <v>70</v>
      </c>
      <c r="D93" s="56">
        <v>1465</v>
      </c>
    </row>
    <row r="94" spans="1:4" x14ac:dyDescent="0.2">
      <c r="A94" s="56">
        <v>2019</v>
      </c>
      <c r="B94" s="56" t="s">
        <v>5</v>
      </c>
      <c r="C94" s="56">
        <v>75</v>
      </c>
      <c r="D94" s="56">
        <v>1550</v>
      </c>
    </row>
    <row r="95" spans="1:4" x14ac:dyDescent="0.2">
      <c r="A95" s="56">
        <v>2019</v>
      </c>
      <c r="B95" s="56" t="s">
        <v>5</v>
      </c>
      <c r="C95" s="56">
        <v>80</v>
      </c>
      <c r="D95" s="56">
        <v>1835</v>
      </c>
    </row>
    <row r="96" spans="1:4" x14ac:dyDescent="0.2">
      <c r="A96" s="56">
        <v>2019</v>
      </c>
      <c r="B96" s="56" t="s">
        <v>5</v>
      </c>
      <c r="C96" s="56">
        <v>85</v>
      </c>
      <c r="D96" s="56">
        <v>4162</v>
      </c>
    </row>
    <row r="97" spans="1:4" x14ac:dyDescent="0.2">
      <c r="A97">
        <v>2021</v>
      </c>
      <c r="B97" t="s">
        <v>5</v>
      </c>
      <c r="C97">
        <v>0</v>
      </c>
      <c r="D97">
        <v>374.88966468651699</v>
      </c>
    </row>
    <row r="98" spans="1:4" x14ac:dyDescent="0.2">
      <c r="A98">
        <v>2021</v>
      </c>
      <c r="B98" t="s">
        <v>5</v>
      </c>
      <c r="C98">
        <v>1</v>
      </c>
      <c r="D98">
        <v>90.003801177496598</v>
      </c>
    </row>
    <row r="99" spans="1:4" x14ac:dyDescent="0.2">
      <c r="A99">
        <v>2021</v>
      </c>
      <c r="B99" t="s">
        <v>5</v>
      </c>
      <c r="C99">
        <v>5</v>
      </c>
      <c r="D99">
        <v>65.002745294858698</v>
      </c>
    </row>
    <row r="100" spans="1:4" x14ac:dyDescent="0.2">
      <c r="A100">
        <v>2021</v>
      </c>
      <c r="B100" t="s">
        <v>5</v>
      </c>
      <c r="C100">
        <v>10</v>
      </c>
      <c r="D100">
        <v>84.003547765663498</v>
      </c>
    </row>
    <row r="101" spans="1:4" x14ac:dyDescent="0.2">
      <c r="A101">
        <v>2021</v>
      </c>
      <c r="B101" t="s">
        <v>5</v>
      </c>
      <c r="C101">
        <v>15</v>
      </c>
      <c r="D101">
        <v>167.00705329602201</v>
      </c>
    </row>
    <row r="102" spans="1:4" x14ac:dyDescent="0.2">
      <c r="A102">
        <v>2021</v>
      </c>
      <c r="B102" t="s">
        <v>5</v>
      </c>
      <c r="C102">
        <v>20</v>
      </c>
      <c r="D102">
        <v>266.01123459126802</v>
      </c>
    </row>
    <row r="103" spans="1:4" x14ac:dyDescent="0.2">
      <c r="A103">
        <v>2021</v>
      </c>
      <c r="B103" t="s">
        <v>5</v>
      </c>
      <c r="C103">
        <v>25</v>
      </c>
      <c r="D103">
        <v>313.01321965062698</v>
      </c>
    </row>
    <row r="104" spans="1:4" x14ac:dyDescent="0.2">
      <c r="A104">
        <v>2021</v>
      </c>
      <c r="B104" t="s">
        <v>5</v>
      </c>
      <c r="C104">
        <v>30</v>
      </c>
      <c r="D104">
        <v>338.01427553326499</v>
      </c>
    </row>
    <row r="105" spans="1:4" x14ac:dyDescent="0.2">
      <c r="A105">
        <v>2021</v>
      </c>
      <c r="B105" t="s">
        <v>5</v>
      </c>
      <c r="C105">
        <v>35</v>
      </c>
      <c r="D105">
        <v>418.01765435770699</v>
      </c>
    </row>
    <row r="106" spans="1:4" x14ac:dyDescent="0.2">
      <c r="A106">
        <v>2021</v>
      </c>
      <c r="B106" t="s">
        <v>5</v>
      </c>
      <c r="C106">
        <v>40</v>
      </c>
      <c r="D106">
        <v>647.02732624267003</v>
      </c>
    </row>
    <row r="107" spans="1:4" x14ac:dyDescent="0.2">
      <c r="A107">
        <v>2021</v>
      </c>
      <c r="B107" t="s">
        <v>5</v>
      </c>
      <c r="C107">
        <v>45</v>
      </c>
      <c r="D107">
        <v>883.03729377477305</v>
      </c>
    </row>
    <row r="108" spans="1:4" x14ac:dyDescent="0.2">
      <c r="A108">
        <v>2021</v>
      </c>
      <c r="B108" t="s">
        <v>5</v>
      </c>
      <c r="C108">
        <v>50</v>
      </c>
      <c r="D108">
        <v>1108.04679671851</v>
      </c>
    </row>
    <row r="109" spans="1:4" x14ac:dyDescent="0.2">
      <c r="A109">
        <v>2021</v>
      </c>
      <c r="B109" t="s">
        <v>5</v>
      </c>
      <c r="C109">
        <v>55</v>
      </c>
      <c r="D109">
        <v>1576.0665628414999</v>
      </c>
    </row>
    <row r="110" spans="1:4" x14ac:dyDescent="0.2">
      <c r="A110">
        <v>2021</v>
      </c>
      <c r="B110" t="s">
        <v>5</v>
      </c>
      <c r="C110">
        <v>60</v>
      </c>
      <c r="D110">
        <v>2102.0887786121998</v>
      </c>
    </row>
    <row r="111" spans="1:4" x14ac:dyDescent="0.2">
      <c r="A111">
        <v>2021</v>
      </c>
      <c r="B111" t="s">
        <v>5</v>
      </c>
      <c r="C111">
        <v>65</v>
      </c>
      <c r="D111">
        <v>2423.1023361452699</v>
      </c>
    </row>
    <row r="112" spans="1:4" x14ac:dyDescent="0.2">
      <c r="A112">
        <v>2021</v>
      </c>
      <c r="B112" t="s">
        <v>5</v>
      </c>
      <c r="C112">
        <v>70</v>
      </c>
      <c r="D112">
        <v>2428.1025473218001</v>
      </c>
    </row>
    <row r="113" spans="1:4" x14ac:dyDescent="0.2">
      <c r="A113">
        <v>2021</v>
      </c>
      <c r="B113" t="s">
        <v>5</v>
      </c>
      <c r="C113">
        <v>75</v>
      </c>
      <c r="D113">
        <v>2570.1085447351802</v>
      </c>
    </row>
    <row r="114" spans="1:4" x14ac:dyDescent="0.2">
      <c r="A114">
        <v>2021</v>
      </c>
      <c r="B114" t="s">
        <v>5</v>
      </c>
      <c r="C114">
        <v>80</v>
      </c>
      <c r="D114">
        <v>2422.1022939099598</v>
      </c>
    </row>
    <row r="115" spans="1:4" x14ac:dyDescent="0.2">
      <c r="A115">
        <v>2021</v>
      </c>
      <c r="B115" t="s">
        <v>5</v>
      </c>
      <c r="C115">
        <v>85</v>
      </c>
      <c r="D115">
        <v>5402.2281551204096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Decrementos Múltiples</vt:lpstr>
      <vt:lpstr>LT</vt:lpstr>
      <vt:lpstr>Homicidios</vt:lpstr>
      <vt:lpstr>Defunciones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Evangelista</dc:creator>
  <cp:lastModifiedBy>Carlos Evangelista</cp:lastModifiedBy>
  <dcterms:created xsi:type="dcterms:W3CDTF">2025-11-24T03:00:46Z</dcterms:created>
  <dcterms:modified xsi:type="dcterms:W3CDTF">2025-11-25T00:33:00Z</dcterms:modified>
</cp:coreProperties>
</file>